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What we need from you" sheetId="3" state="visible" r:id="rId3"/>
  </sheets>
  <definedNames>
    <definedName name="_xlnm._FilterDatabase" localSheetId="0" hidden="1">'Tracker'!$A$4:$L$35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B3B6F"/>
      <sz val="15"/>
    </font>
    <font>
      <name val="Arial"/>
      <i val="1"/>
      <color rgb="003A5A8C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B6F"/>
      <sz val="14"/>
    </font>
    <font>
      <name val="Arial"/>
      <b val="1"/>
      <color rgb="001B3B6F"/>
      <sz val="11"/>
    </font>
  </fonts>
  <fills count="7">
    <fill>
      <patternFill/>
    </fill>
    <fill>
      <patternFill patternType="gray125"/>
    </fill>
    <fill>
      <patternFill patternType="solid">
        <fgColor rgb="001B3B6F"/>
      </patternFill>
    </fill>
    <fill>
      <patternFill patternType="solid">
        <fgColor rgb="00FFF3E0"/>
      </patternFill>
    </fill>
    <fill>
      <patternFill patternType="solid">
        <fgColor rgb="00F4F7FC"/>
      </patternFill>
    </fill>
    <fill>
      <patternFill patternType="solid">
        <fgColor rgb="00E3F4E4"/>
      </patternFill>
    </fill>
    <fill>
      <patternFill patternType="solid">
        <fgColor rgb="00FDE7EE"/>
      </patternFill>
    </fill>
  </fills>
  <borders count="2">
    <border>
      <left/>
      <right/>
      <top/>
      <bottom/>
      <diagonal/>
    </border>
    <border>
      <left style="thin">
        <color rgb="00DBE3EF"/>
      </left>
      <right style="thin">
        <color rgb="00DBE3EF"/>
      </right>
      <top style="thin">
        <color rgb="00DBE3EF"/>
      </top>
      <bottom style="thin">
        <color rgb="00DBE3E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/>
    </xf>
    <xf numFmtId="0" fontId="5" fillId="5" borderId="1" applyAlignment="1" pivotButton="0" quotePrefix="0" xfId="0">
      <alignment horizontal="left" vertical="top"/>
    </xf>
    <xf numFmtId="0" fontId="5" fillId="6" borderId="1" applyAlignment="1" pivotButton="0" quotePrefix="0" xfId="0">
      <alignment horizontal="left" vertical="top"/>
    </xf>
    <xf numFmtId="0" fontId="6" fillId="0" borderId="0" pivotButton="0" quotePrefix="0" xfId="0"/>
    <xf numFmtId="0" fontId="3" fillId="2" borderId="1" pivotButton="0" quotePrefix="0" xfId="0"/>
    <xf numFmtId="0" fontId="5" fillId="5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5" fillId="6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AF6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E4" authorId="0" shapeId="0">
      <text>
        <t>Each line says what was actually inspected — an endpoint called, a query run on the live database, or a file read — so a status can be challenged on the evidence.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46" customWidth="1" min="3" max="3"/>
    <col width="18" customWidth="1" min="4" max="4"/>
    <col width="74" customWidth="1" min="5" max="5"/>
    <col width="22" customWidth="1" min="6" max="6"/>
    <col width="62" customWidth="1" min="7" max="7"/>
    <col width="9" customWidth="1" min="8" max="8"/>
    <col width="16" customWidth="1" min="9" max="9"/>
    <col width="13" customWidth="1" min="10" max="10"/>
    <col width="8" customWidth="1" min="11" max="11"/>
    <col width="30" customWidth="1" min="12" max="12"/>
  </cols>
  <sheetData>
    <row r="1">
      <c r="A1" s="1" t="inlineStr">
        <is>
          <t>Agentic PMS — 31-point tracker</t>
        </is>
      </c>
    </row>
    <row r="2">
      <c r="A2" s="2" t="inlineStr">
        <is>
          <t>Status checked against the code and the live production box on 23 Sep 2026. Columns I to L are yours to fill in; everything left of them is the check.</t>
        </is>
      </c>
    </row>
    <row r="4" ht="30" customHeight="1">
      <c r="A4" s="3" t="inlineStr">
        <is>
          <t>#</t>
        </is>
      </c>
      <c r="B4" s="3" t="inlineStr">
        <is>
          <t>Point</t>
        </is>
      </c>
      <c r="C4" s="3" t="inlineStr">
        <is>
          <t>What was asked</t>
        </is>
      </c>
      <c r="D4" s="3" t="inlineStr">
        <is>
          <t>Status</t>
        </is>
      </c>
      <c r="E4" s="3" t="inlineStr">
        <is>
          <t>Where it stands (checked 23 Sep 2026)</t>
        </is>
      </c>
      <c r="F4" s="3" t="inlineStr">
        <is>
          <t>Owner</t>
        </is>
      </c>
      <c r="G4" s="3" t="inlineStr">
        <is>
          <t>Next action</t>
        </is>
      </c>
      <c r="H4" s="3" t="inlineStr">
        <is>
          <t>Suggested order</t>
        </is>
      </c>
      <c r="I4" s="3" t="inlineStr">
        <is>
          <t>Assigned to</t>
        </is>
      </c>
      <c r="J4" s="3" t="inlineStr">
        <is>
          <t>Target date</t>
        </is>
      </c>
      <c r="K4" s="3" t="inlineStr">
        <is>
          <t>Done?</t>
        </is>
      </c>
      <c r="L4" s="3" t="inlineStr">
        <is>
          <t>Notes</t>
        </is>
      </c>
    </row>
    <row r="5" ht="58" customHeight="1">
      <c r="A5" s="4" t="n">
        <v>1</v>
      </c>
      <c r="B5" s="5" t="inlineStr">
        <is>
          <t>Approved goals: remove the edit lock</t>
        </is>
      </c>
      <c r="C5" s="5" t="inlineStr">
        <is>
          <t>Editing is restricted unexpectedly when the cycle moves to the next phase.</t>
        </is>
      </c>
      <c r="D5" s="6" t="inlineStr">
        <is>
          <t>Partly done</t>
        </is>
      </c>
      <c r="E5" s="5" t="inlineStr">
        <is>
          <t>Phase lock IS removed: growthEditable() allows edits up to Calibration, and a RETURNED plan is editable in any phase. An APPROVED plan stays locked by design.</t>
        </is>
      </c>
      <c r="F5" s="7" t="inlineStr">
        <is>
          <t>Mindgate — decision</t>
        </is>
      </c>
      <c r="G5" s="5" t="inlineStr">
        <is>
          <t>Decide: should an approved growth plan be directly editable, or keep 'ask your manager to return it'?</t>
        </is>
      </c>
      <c r="H5" s="4" t="n">
        <v>3</v>
      </c>
      <c r="I5" s="7" t="inlineStr"/>
      <c r="J5" s="7" t="inlineStr"/>
      <c r="K5" s="4" t="inlineStr"/>
      <c r="L5" s="5" t="inlineStr"/>
    </row>
    <row r="6" ht="58" customHeight="1">
      <c r="A6" s="8" t="n">
        <v>2</v>
      </c>
      <c r="B6" s="9" t="inlineStr">
        <is>
          <t>Department dropdown for KRA setup</t>
        </is>
      </c>
      <c r="C6" s="9" t="inlineStr">
        <is>
          <t>Add a department selection dropdown to resolve designation bottlenecks.</t>
        </is>
      </c>
      <c r="D6" s="6" t="inlineStr">
        <is>
          <t>Blocked on data</t>
        </is>
      </c>
      <c r="E6" s="9" t="inlineStr">
        <is>
          <t>Built: the KRA library is keyed on department + designation and the page has an 'All departments' filter. Live data: 0 of 2,155 library rows carry a department.</t>
        </is>
      </c>
      <c r="F6" s="10" t="inlineStr">
        <is>
          <t>Mindgate — data</t>
        </is>
      </c>
      <c r="G6" s="9" t="inlineStr">
        <is>
          <t>Add a Department value to the library rows and re-publish the sheet.</t>
        </is>
      </c>
      <c r="H6" s="8" t="n">
        <v>4</v>
      </c>
      <c r="I6" s="10" t="inlineStr"/>
      <c r="J6" s="10" t="inlineStr"/>
      <c r="K6" s="8" t="inlineStr"/>
      <c r="L6" s="9" t="inlineStr"/>
    </row>
    <row r="7" ht="58" customHeight="1">
      <c r="A7" s="4" t="n">
        <v>3</v>
      </c>
      <c r="B7" s="5" t="inlineStr">
        <is>
          <t>Associate the growth path after the KRA</t>
        </is>
      </c>
      <c r="C7" s="5" t="inlineStr">
        <is>
          <t>Review changes: growth path should follow the KRA.</t>
        </is>
      </c>
      <c r="D7" s="11" t="inlineStr">
        <is>
          <t>Done</t>
        </is>
      </c>
      <c r="E7" s="5" t="inlineStr">
        <is>
          <t>kra-goal-sync reopens the growth plan when the KRA set changes and relinks goals to KRAs by title. Shipped and live.</t>
        </is>
      </c>
      <c r="F7" s="7" t="inlineStr">
        <is>
          <t>—</t>
        </is>
      </c>
      <c r="G7" s="5" t="inlineStr">
        <is>
          <t>None.</t>
        </is>
      </c>
      <c r="H7" s="4" t="n"/>
      <c r="I7" s="7" t="inlineStr"/>
      <c r="J7" s="7" t="inlineStr"/>
      <c r="K7" s="4" t="inlineStr"/>
      <c r="L7" s="5" t="inlineStr"/>
    </row>
    <row r="8" ht="58" customHeight="1">
      <c r="A8" s="8" t="n">
        <v>4</v>
      </c>
      <c r="B8" s="9" t="inlineStr">
        <is>
          <t>KRA unique ID</t>
        </is>
      </c>
      <c r="C8" s="9" t="inlineStr">
        <is>
          <t>Assign a unique ID to all KRAs based on department and designation.</t>
        </is>
      </c>
      <c r="D8" s="12" t="inlineStr">
        <is>
          <t>Not built</t>
        </is>
      </c>
      <c r="E8" s="9" t="inlineStr">
        <is>
          <t>No ID scheme exists. Needs four answers before any code.</t>
        </is>
      </c>
      <c r="F8" s="10" t="inlineStr">
        <is>
          <t>Mindgate — decision</t>
        </is>
      </c>
      <c r="G8" s="9" t="inlineStr">
        <is>
          <t>Answer: (a) format, e.g. SALES-SM-001; (b) unique per library row or per assigned KRA; (c) does the ID change when the KRA is edited or re-mapped; (d) what happens to the 2,155 rows already loaded.</t>
        </is>
      </c>
      <c r="H8" s="8" t="n">
        <v>6</v>
      </c>
      <c r="I8" s="10" t="inlineStr"/>
      <c r="J8" s="10" t="inlineStr"/>
      <c r="K8" s="8" t="inlineStr"/>
      <c r="L8" s="9" t="inlineStr"/>
    </row>
    <row r="9" ht="58" customHeight="1">
      <c r="A9" s="4" t="n">
        <v>5</v>
      </c>
      <c r="B9" s="5" t="inlineStr">
        <is>
          <t>Google Meet integration</t>
        </is>
      </c>
      <c r="C9" s="5" t="inlineStr">
        <is>
          <t>Configure Google Meet within the system.</t>
        </is>
      </c>
      <c r="D9" s="6" t="inlineStr">
        <is>
          <t>Blocked on credentials</t>
        </is>
      </c>
      <c r="E9" s="5" t="inlineStr">
        <is>
          <t>Code and UI are in place; the connect page says 'Google Meet is not connected on this instance yet'. No Google OAuth credentials in /etc/agentic-pms/api.env.</t>
        </is>
      </c>
      <c r="F9" s="7" t="inlineStr">
        <is>
          <t>Mindgate — credentials</t>
        </is>
      </c>
      <c r="G9" s="5" t="inlineStr">
        <is>
          <t>Provide Google OAuth client ID and secret for the workspace.</t>
        </is>
      </c>
      <c r="H9" s="4" t="n"/>
      <c r="I9" s="7" t="inlineStr"/>
      <c r="J9" s="7" t="inlineStr"/>
      <c r="K9" s="4" t="inlineStr"/>
      <c r="L9" s="5" t="inlineStr"/>
    </row>
    <row r="10" ht="58" customHeight="1">
      <c r="A10" s="8" t="n">
        <v>6</v>
      </c>
      <c r="B10" s="9" t="inlineStr">
        <is>
          <t>KRAs always open + new-hire auto-assign</t>
        </is>
      </c>
      <c r="C10" s="9" t="inlineStr">
        <is>
          <t>Keep KRAs open for everyone, not tied to a cycle. New hires get KRAs on joining; manager approval still required.</t>
        </is>
      </c>
      <c r="D10" s="11" t="inlineStr">
        <is>
          <t>Done</t>
        </is>
      </c>
      <c r="E10" s="9" t="inlineStr">
        <is>
          <t>KRA edit is allowed in every phase except draft/closed. New hires are assigned their department+designation shelf at import; sheets land in draft for the employee, approval unchanged. Live.</t>
        </is>
      </c>
      <c r="F10" s="10" t="inlineStr">
        <is>
          <t>—</t>
        </is>
      </c>
      <c r="G10" s="9" t="inlineStr">
        <is>
          <t>None.</t>
        </is>
      </c>
      <c r="H10" s="8" t="n"/>
      <c r="I10" s="10" t="inlineStr"/>
      <c r="J10" s="10" t="inlineStr"/>
      <c r="K10" s="8" t="inlineStr"/>
      <c r="L10" s="9" t="inlineStr"/>
    </row>
    <row r="11" ht="58" customHeight="1">
      <c r="A11" s="4" t="n">
        <v>7</v>
      </c>
      <c r="B11" s="5" t="inlineStr">
        <is>
          <t>RM approval issue</t>
        </is>
      </c>
      <c r="C11" s="5" t="inlineStr">
        <is>
          <t>Reporting Managers cannot approve KRAs.</t>
        </is>
      </c>
      <c r="D11" s="6" t="inlineStr">
        <is>
          <t>Blocked on accounts</t>
        </is>
      </c>
      <c r="E11" s="5" t="inlineStr">
        <is>
          <t>The approve path works: All Approvals currently lists sheets waiting on named managers, and the decide endpoint is covered by tests. But 0 of your 239 managers has a password, so no RM can sign in to try it.</t>
        </is>
      </c>
      <c r="F11" s="7" t="inlineStr">
        <is>
          <t>Mindgate — accounts</t>
        </is>
      </c>
      <c r="G11" s="5" t="inlineStr">
        <is>
          <t>Comes free with point 22.</t>
        </is>
      </c>
      <c r="H11" s="4" t="n"/>
      <c r="I11" s="7" t="inlineStr"/>
      <c r="J11" s="7" t="inlineStr"/>
      <c r="K11" s="4" t="inlineStr"/>
      <c r="L11" s="5" t="inlineStr"/>
    </row>
    <row r="12" ht="58" customHeight="1">
      <c r="A12" s="8" t="n">
        <v>8</v>
      </c>
      <c r="B12" s="9" t="inlineStr">
        <is>
          <t>ANTHROPIC_API_KEY missing in My Growth</t>
        </is>
      </c>
      <c r="C12" s="9" t="inlineStr">
        <is>
          <t>Agentic features not configured on this instance.</t>
        </is>
      </c>
      <c r="D12" s="11" t="inlineStr">
        <is>
          <t>Done</t>
        </is>
      </c>
      <c r="E12" s="9" t="inlineStr">
        <is>
          <t>Key is present on the box, and POST /agentic/devplan-suggest returned 200 with a real draft on production on 23 Sep.</t>
        </is>
      </c>
      <c r="F12" s="10" t="inlineStr">
        <is>
          <t>—</t>
        </is>
      </c>
      <c r="G12" s="9" t="inlineStr">
        <is>
          <t>Separate issue: this key has never been rotated. Rotate it.</t>
        </is>
      </c>
      <c r="H12" s="8" t="n">
        <v>1</v>
      </c>
      <c r="I12" s="10" t="inlineStr"/>
      <c r="J12" s="10" t="inlineStr"/>
      <c r="K12" s="8" t="inlineStr"/>
      <c r="L12" s="9" t="inlineStr"/>
    </row>
    <row r="13" ht="58" customHeight="1">
      <c r="A13" s="4" t="n">
        <v>9</v>
      </c>
      <c r="B13" s="5" t="inlineStr">
        <is>
          <t>KRA Library editing</t>
        </is>
      </c>
      <c r="C13" s="5" t="inlineStr">
        <is>
          <t>HR should edit the library directly during reviews with the DH or RM.</t>
        </is>
      </c>
      <c r="D13" s="11" t="inlineStr">
        <is>
          <t>Done</t>
        </is>
      </c>
      <c r="E13" s="5" t="inlineStr">
        <is>
          <t>Per-entry edit endpoint and UI on the KRA Library page. Live.</t>
        </is>
      </c>
      <c r="F13" s="7" t="inlineStr">
        <is>
          <t>—</t>
        </is>
      </c>
      <c r="G13" s="5" t="inlineStr">
        <is>
          <t>None.</t>
        </is>
      </c>
      <c r="H13" s="4" t="n"/>
      <c r="I13" s="7" t="inlineStr"/>
      <c r="J13" s="7" t="inlineStr"/>
      <c r="K13" s="4" t="inlineStr"/>
      <c r="L13" s="5" t="inlineStr"/>
    </row>
    <row r="14" ht="58" customHeight="1">
      <c r="A14" s="8" t="n">
        <v>10</v>
      </c>
      <c r="B14" s="9" t="inlineStr">
        <is>
          <t>Role / department change</t>
        </is>
      </c>
      <c r="C14" s="9" t="inlineStr">
        <is>
          <t>Enable KRA editing for HR and re-route approval to the new RM.</t>
        </is>
      </c>
      <c r="D14" s="11" t="inlineStr">
        <is>
          <t>Done</t>
        </is>
      </c>
      <c r="E14" s="9" t="inlineStr">
        <is>
          <t>profile-change reopens the sheet and plan with reopened_reason='profile_change'; the approver is read live from the employee record, so approval follows the new manager automatically.</t>
        </is>
      </c>
      <c r="F14" s="10" t="inlineStr">
        <is>
          <t>—</t>
        </is>
      </c>
      <c r="G14" s="9" t="inlineStr">
        <is>
          <t>None.</t>
        </is>
      </c>
      <c r="H14" s="8" t="n"/>
      <c r="I14" s="10" t="inlineStr"/>
      <c r="J14" s="10" t="inlineStr"/>
      <c r="K14" s="8" t="inlineStr"/>
      <c r="L14" s="9" t="inlineStr"/>
    </row>
    <row r="15" ht="58" customHeight="1">
      <c r="A15" s="4" t="n">
        <v>11</v>
      </c>
      <c r="B15" s="5" t="inlineStr">
        <is>
          <t>'Select all KRAs' in My Growth</t>
        </is>
      </c>
      <c r="C15" s="5" t="inlineStr">
        <is>
          <t>Add a select-all option.</t>
        </is>
      </c>
      <c r="D15" s="11" t="inlineStr">
        <is>
          <t>Done</t>
        </is>
      </c>
      <c r="E15" s="5" t="inlineStr">
        <is>
          <t>'Select all N' in the KRA library picker and in the AI draft panel on My Growth.</t>
        </is>
      </c>
      <c r="F15" s="7" t="inlineStr">
        <is>
          <t>—</t>
        </is>
      </c>
      <c r="G15" s="5" t="inlineStr">
        <is>
          <t>None.</t>
        </is>
      </c>
      <c r="H15" s="4" t="n"/>
      <c r="I15" s="7" t="inlineStr"/>
      <c r="J15" s="7" t="inlineStr"/>
      <c r="K15" s="4" t="inlineStr"/>
      <c r="L15" s="5" t="inlineStr"/>
    </row>
    <row r="16" ht="58" customHeight="1">
      <c r="A16" s="8" t="n">
        <v>12</v>
      </c>
      <c r="B16" s="9" t="inlineStr">
        <is>
          <t>KRA synchronisation</t>
        </is>
      </c>
      <c r="C16" s="9" t="inlineStr">
        <is>
          <t>Mapping is inaccurate against designation and department.</t>
        </is>
      </c>
      <c r="D16" s="6" t="inlineStr">
        <is>
          <t>Blocked on data</t>
        </is>
      </c>
      <c r="E16" s="9" t="inlineStr">
        <is>
          <t>Matching is department + designation first, then a company-wide fallback — never both. With 0 departments in the library it can only ever match on designation.</t>
        </is>
      </c>
      <c r="F16" s="10" t="inlineStr">
        <is>
          <t>Mindgate — data</t>
        </is>
      </c>
      <c r="G16" s="9" t="inlineStr">
        <is>
          <t>Same as point 2.</t>
        </is>
      </c>
      <c r="H16" s="8" t="n"/>
      <c r="I16" s="10" t="inlineStr"/>
      <c r="J16" s="10" t="inlineStr"/>
      <c r="K16" s="8" t="inlineStr"/>
      <c r="L16" s="9" t="inlineStr"/>
    </row>
    <row r="17" ht="58" customHeight="1">
      <c r="A17" s="4" t="n">
        <v>13</v>
      </c>
      <c r="B17" s="5" t="inlineStr">
        <is>
          <t>Career pathing matrix under Aspiring Career</t>
        </is>
      </c>
      <c r="C17" s="5" t="inlineStr">
        <is>
          <t>Configure the matrix.</t>
        </is>
      </c>
      <c r="D17" s="11" t="inlineStr">
        <is>
          <t>Done</t>
        </is>
      </c>
      <c r="E17" s="5" t="inlineStr">
        <is>
          <t>Aspiring Career limits the target role to transitions HR configured in the Career Pathing Matrix, and says so when none is configured.</t>
        </is>
      </c>
      <c r="F17" s="7" t="inlineStr">
        <is>
          <t>—</t>
        </is>
      </c>
      <c r="G17" s="5" t="inlineStr">
        <is>
          <t>Matrix is currently empty on live — HR needs to define transitions.</t>
        </is>
      </c>
      <c r="H17" s="4" t="n">
        <v>5</v>
      </c>
      <c r="I17" s="7" t="inlineStr"/>
      <c r="J17" s="7" t="inlineStr"/>
      <c r="K17" s="4" t="inlineStr"/>
      <c r="L17" s="5" t="inlineStr"/>
    </row>
    <row r="18" ht="58" customHeight="1">
      <c r="A18" s="8" t="n">
        <v>14</v>
      </c>
      <c r="B18" s="9" t="inlineStr">
        <is>
          <t>Career pathing template</t>
        </is>
      </c>
      <c r="C18" s="9" t="inlineStr">
        <is>
          <t>Provide the template.</t>
        </is>
      </c>
      <c r="D18" s="11" t="inlineStr">
        <is>
          <t>Done</t>
        </is>
      </c>
      <c r="E18" s="9" t="inlineStr">
        <is>
          <t>Download template (.xlsx) and (.csv) buttons on the Career Pathing Matrix page.</t>
        </is>
      </c>
      <c r="F18" s="10" t="inlineStr">
        <is>
          <t>—</t>
        </is>
      </c>
      <c r="G18" s="9" t="inlineStr">
        <is>
          <t>None.</t>
        </is>
      </c>
      <c r="H18" s="8" t="n"/>
      <c r="I18" s="10" t="inlineStr"/>
      <c r="J18" s="10" t="inlineStr"/>
      <c r="K18" s="8" t="inlineStr"/>
      <c r="L18" s="9" t="inlineStr"/>
    </row>
    <row r="19" ht="58" customHeight="1">
      <c r="A19" s="4" t="n">
        <v>15</v>
      </c>
      <c r="B19" s="5" t="inlineStr">
        <is>
          <t>Department management</t>
        </is>
      </c>
      <c r="C19" s="5" t="inlineStr">
        <is>
          <t>Department Heads should add and remove departments.</t>
        </is>
      </c>
      <c r="D19" s="11" t="inlineStr">
        <is>
          <t>Done</t>
        </is>
      </c>
      <c r="E19" s="5" t="inlineStr">
        <is>
          <t>Add and delete on the Department Heads page.</t>
        </is>
      </c>
      <c r="F19" s="7" t="inlineStr">
        <is>
          <t>—</t>
        </is>
      </c>
      <c r="G19" s="5" t="inlineStr">
        <is>
          <t>None.</t>
        </is>
      </c>
      <c r="H19" s="4" t="n"/>
      <c r="I19" s="7" t="inlineStr"/>
      <c r="J19" s="7" t="inlineStr"/>
      <c r="K19" s="4" t="inlineStr"/>
      <c r="L19" s="5" t="inlineStr"/>
    </row>
    <row r="20" ht="58" customHeight="1">
      <c r="A20" s="8" t="n">
        <v>16</v>
      </c>
      <c r="B20" s="9" t="inlineStr">
        <is>
          <t>Mid-year self-appraisal</t>
        </is>
      </c>
      <c r="C20" s="9" t="inlineStr">
        <is>
          <t>Include self-appraisal in the mid-year review.</t>
        </is>
      </c>
      <c r="D20" s="11" t="inlineStr">
        <is>
          <t>Done</t>
        </is>
      </c>
      <c r="E20" s="9" t="inlineStr">
        <is>
          <t>Mid-year check-in carries a self half and a manager half, submitted separately.</t>
        </is>
      </c>
      <c r="F20" s="10" t="inlineStr">
        <is>
          <t>—</t>
        </is>
      </c>
      <c r="G20" s="9" t="inlineStr">
        <is>
          <t>None.</t>
        </is>
      </c>
      <c r="H20" s="8" t="n"/>
      <c r="I20" s="10" t="inlineStr"/>
      <c r="J20" s="10" t="inlineStr"/>
      <c r="K20" s="8" t="inlineStr"/>
      <c r="L20" s="9" t="inlineStr"/>
    </row>
    <row r="21" ht="58" customHeight="1">
      <c r="A21" s="4" t="n">
        <v>17</v>
      </c>
      <c r="B21" s="5" t="inlineStr">
        <is>
          <t>Quarterly Connect email</t>
        </is>
      </c>
      <c r="C21" s="5" t="inlineStr">
        <is>
          <t>No email configuration for direct meeting scheduling.</t>
        </is>
      </c>
      <c r="D21" s="6" t="inlineStr">
        <is>
          <t>Blocked on credentials</t>
        </is>
      </c>
      <c r="E21" s="5" t="inlineStr">
        <is>
          <t>Meeting link and scheduling UI exist per connect. No SMTP configured on the box.</t>
        </is>
      </c>
      <c r="F21" s="7" t="inlineStr">
        <is>
          <t>Mindgate — credentials</t>
        </is>
      </c>
      <c r="G21" s="5" t="inlineStr">
        <is>
          <t>Provide SMTP host, port, user and password.</t>
        </is>
      </c>
      <c r="H21" s="4" t="n"/>
      <c r="I21" s="7" t="inlineStr"/>
      <c r="J21" s="7" t="inlineStr"/>
      <c r="K21" s="4" t="inlineStr"/>
      <c r="L21" s="5" t="inlineStr"/>
    </row>
    <row r="22" ht="58" customHeight="1">
      <c r="A22" s="8" t="n">
        <v>18</v>
      </c>
      <c r="B22" s="9" t="inlineStr">
        <is>
          <t>Rename Self-Appraisal to Annual Review</t>
        </is>
      </c>
      <c r="C22" s="9" t="inlineStr"/>
      <c r="D22" s="11" t="inlineStr">
        <is>
          <t>Done</t>
        </is>
      </c>
      <c r="E22" s="9" t="inlineStr">
        <is>
          <t>Live. Route unchanged (/my/self-appraisal) so existing links and notifications still work.</t>
        </is>
      </c>
      <c r="F22" s="10" t="inlineStr">
        <is>
          <t>—</t>
        </is>
      </c>
      <c r="G22" s="9" t="inlineStr">
        <is>
          <t>None.</t>
        </is>
      </c>
      <c r="H22" s="8" t="n"/>
      <c r="I22" s="10" t="inlineStr"/>
      <c r="J22" s="10" t="inlineStr"/>
      <c r="K22" s="8" t="inlineStr"/>
      <c r="L22" s="9" t="inlineStr"/>
    </row>
    <row r="23" ht="58" customHeight="1">
      <c r="A23" s="4" t="n">
        <v>19</v>
      </c>
      <c r="B23" s="5" t="inlineStr">
        <is>
          <t>Rename Annual Review to Final Rating</t>
        </is>
      </c>
      <c r="C23" s="5" t="inlineStr">
        <is>
          <t>It presents consolidated ratings.</t>
        </is>
      </c>
      <c r="D23" s="11" t="inlineStr">
        <is>
          <t>Done</t>
        </is>
      </c>
      <c r="E23" s="5" t="inlineStr">
        <is>
          <t>Live. Route unchanged (/my/annual-review).</t>
        </is>
      </c>
      <c r="F23" s="7" t="inlineStr">
        <is>
          <t>—</t>
        </is>
      </c>
      <c r="G23" s="5" t="inlineStr">
        <is>
          <t>None.</t>
        </is>
      </c>
      <c r="H23" s="4" t="n"/>
      <c r="I23" s="7" t="inlineStr"/>
      <c r="J23" s="7" t="inlineStr"/>
      <c r="K23" s="4" t="inlineStr"/>
      <c r="L23" s="5" t="inlineStr"/>
    </row>
    <row r="24" ht="58" customHeight="1">
      <c r="A24" s="8" t="n">
        <v>20</v>
      </c>
      <c r="B24" s="9" t="inlineStr">
        <is>
          <t>Manager rating visibility</t>
        </is>
      </c>
      <c r="C24" s="9" t="inlineStr">
        <is>
          <t>Confirm whether the employee sees the manager's rating, given it changes at DH / management review.</t>
        </is>
      </c>
      <c r="D24" s="11" t="inlineStr">
        <is>
          <t>Done — answer below</t>
        </is>
      </c>
      <c r="E24" s="9" t="inlineStr">
        <is>
          <t>NO. /my/rating reads only published history, so the employee sees the final published rating and never the manager's interim one. Changes made at delivery-head or management review are invisible to them.</t>
        </is>
      </c>
      <c r="F24" s="10" t="inlineStr">
        <is>
          <t>—</t>
        </is>
      </c>
      <c r="G24" s="9" t="inlineStr">
        <is>
          <t>Confirm this is the behaviour you want.</t>
        </is>
      </c>
      <c r="H24" s="8" t="n"/>
      <c r="I24" s="10" t="inlineStr"/>
      <c r="J24" s="10" t="inlineStr"/>
      <c r="K24" s="8" t="inlineStr"/>
      <c r="L24" s="9" t="inlineStr"/>
    </row>
    <row r="25" ht="58" customHeight="1">
      <c r="A25" s="4" t="n">
        <v>21</v>
      </c>
      <c r="B25" s="5" t="inlineStr">
        <is>
          <t>Final rating publishing rights</t>
        </is>
      </c>
      <c r="C25" s="5" t="inlineStr">
        <is>
          <t>Keep publishing within the cycle for HRBP and ops.</t>
        </is>
      </c>
      <c r="D25" s="11" t="inlineStr">
        <is>
          <t>Done</t>
        </is>
      </c>
      <c r="E25" s="5" t="inlineStr">
        <is>
          <t>Publish is gated on pms_admin, which both HR and admin hold; nobody else can publish.</t>
        </is>
      </c>
      <c r="F25" s="7" t="inlineStr">
        <is>
          <t>—</t>
        </is>
      </c>
      <c r="G25" s="5" t="inlineStr">
        <is>
          <t>None.</t>
        </is>
      </c>
      <c r="H25" s="4" t="n"/>
      <c r="I25" s="7" t="inlineStr"/>
      <c r="J25" s="7" t="inlineStr"/>
      <c r="K25" s="4" t="inlineStr"/>
      <c r="L25" s="5" t="inlineStr"/>
    </row>
    <row r="26" ht="58" customHeight="1">
      <c r="A26" s="8" t="n">
        <v>22</v>
      </c>
      <c r="B26" s="9" t="inlineStr">
        <is>
          <t>Access setup for testing</t>
        </is>
      </c>
      <c r="C26" s="9" t="inlineStr">
        <is>
          <t>One employee and one manager account.</t>
        </is>
      </c>
      <c r="D26" s="12" t="inlineStr">
        <is>
          <t>Not built</t>
        </is>
      </c>
      <c r="E26" s="9" t="inlineStr">
        <is>
          <t>Only hr.admin@mindgate.com has a password. Roles held: 1 admin, 5 hod, 239 manager, 0 hr — but none of the managers can sign in.</t>
        </is>
      </c>
      <c r="F26" s="10" t="inlineStr">
        <is>
          <t>Us — needs your go-ahead</t>
        </is>
      </c>
      <c r="G26" s="9" t="inlineStr">
        <is>
          <t>Create one employee and one manager login on production. Minutes of work; blocks points 7, 24, 25, 26 being tested by you.</t>
        </is>
      </c>
      <c r="H26" s="8" t="n">
        <v>2</v>
      </c>
      <c r="I26" s="10" t="inlineStr"/>
      <c r="J26" s="10" t="inlineStr"/>
      <c r="K26" s="8" t="inlineStr"/>
      <c r="L26" s="9" t="inlineStr"/>
    </row>
    <row r="27" ht="58" customHeight="1">
      <c r="A27" s="4" t="n">
        <v>23</v>
      </c>
      <c r="B27" s="5" t="inlineStr">
        <is>
          <t>Global search and approval buttons</t>
        </is>
      </c>
      <c r="C27" s="5" t="inlineStr">
        <is>
          <t>Add across all relevant screens.</t>
        </is>
      </c>
      <c r="D27" s="6" t="inlineStr">
        <is>
          <t>Partly done</t>
        </is>
      </c>
      <c r="E27" s="5" t="inlineStr">
        <is>
          <t>Approval: All Approvals shipped and live. Search: only 4 of 36 pages have a search box.</t>
        </is>
      </c>
      <c r="F27" s="7" t="inlineStr">
        <is>
          <t>Us</t>
        </is>
      </c>
      <c r="G27" s="5" t="inlineStr">
        <is>
          <t>Add a search to the list-heavy pages: Team KRA Sheets, Team Evaluation, KRA Overview, Employees, Calibration, 9-Box.</t>
        </is>
      </c>
      <c r="H27" s="4" t="n">
        <v>8</v>
      </c>
      <c r="I27" s="7" t="inlineStr"/>
      <c r="J27" s="7" t="inlineStr"/>
      <c r="K27" s="4" t="inlineStr"/>
      <c r="L27" s="5" t="inlineStr"/>
    </row>
    <row r="28" ht="58" customHeight="1">
      <c r="A28" s="8" t="n">
        <v>24</v>
      </c>
      <c r="B28" s="9" t="inlineStr">
        <is>
          <t>KRA approval workflow</t>
        </is>
      </c>
      <c r="C28" s="9" t="inlineStr">
        <is>
          <t>Approved KRA missing from the Approved tab; direct approve when unchanged; Save &amp; Submit when edited.</t>
        </is>
      </c>
      <c r="D28" s="12" t="inlineStr">
        <is>
          <t>Not built</t>
        </is>
      </c>
      <c r="E28" s="9" t="inlineStr">
        <is>
          <t>Team KRA Sheets has a pending count but no Pending / Approved tabs, and no difference between approving unchanged and approving after edits.</t>
        </is>
      </c>
      <c r="F28" s="10" t="inlineStr">
        <is>
          <t>Us</t>
        </is>
      </c>
      <c r="G28" s="9" t="inlineStr">
        <is>
          <t>Add Pending / Approved / Returned tabs, and split the action into Approve and Save &amp; Submit.</t>
        </is>
      </c>
      <c r="H28" s="8" t="n">
        <v>7</v>
      </c>
      <c r="I28" s="10" t="inlineStr"/>
      <c r="J28" s="10" t="inlineStr"/>
      <c r="K28" s="8" t="inlineStr"/>
      <c r="L28" s="9" t="inlineStr"/>
    </row>
    <row r="29" ht="58" customHeight="1">
      <c r="A29" s="4" t="n">
        <v>25</v>
      </c>
      <c r="B29" s="5" t="inlineStr">
        <is>
          <t>Role-based views</t>
        </is>
      </c>
      <c r="C29" s="5" t="inlineStr">
        <is>
          <t>On login show Self, Manager and HR tabs and route accordingly.</t>
        </is>
      </c>
      <c r="D29" s="11" t="inlineStr">
        <is>
          <t>Done</t>
        </is>
      </c>
      <c r="E29" s="5" t="inlineStr">
        <is>
          <t>Deployed 23 Sep. Four tabs (My Performance, Team, HR Admin, Engagement &amp; People), gated per role: employee 11 pages, manager 14, delivery head 16, HR and admin 30.</t>
        </is>
      </c>
      <c r="F29" s="7" t="inlineStr">
        <is>
          <t>—</t>
        </is>
      </c>
      <c r="G29" s="5" t="inlineStr">
        <is>
          <t>None.</t>
        </is>
      </c>
      <c r="H29" s="4" t="n"/>
      <c r="I29" s="7" t="inlineStr"/>
      <c r="J29" s="7" t="inlineStr"/>
      <c r="K29" s="4" t="inlineStr"/>
      <c r="L29" s="5" t="inlineStr"/>
    </row>
    <row r="30" ht="58" customHeight="1">
      <c r="A30" s="8" t="n">
        <v>26</v>
      </c>
      <c r="B30" s="9" t="inlineStr">
        <is>
          <t>Manager dashboard tracking</t>
        </is>
      </c>
      <c r="C30" s="9" t="inlineStr">
        <is>
          <t>Highlight pending vs approved under a tab for managers.</t>
        </is>
      </c>
      <c r="D30" s="6" t="inlineStr">
        <is>
          <t>Partly done</t>
        </is>
      </c>
      <c r="E30" s="9" t="inlineStr">
        <is>
          <t>A pending count exists on Team KRA Sheets; there is no tab separating pending from approved.</t>
        </is>
      </c>
      <c r="F30" s="10" t="inlineStr">
        <is>
          <t>Us</t>
        </is>
      </c>
      <c r="G30" s="9" t="inlineStr">
        <is>
          <t>Covered by the same work as point 24.</t>
        </is>
      </c>
      <c r="H30" s="8" t="n">
        <v>7</v>
      </c>
      <c r="I30" s="10" t="inlineStr"/>
      <c r="J30" s="10" t="inlineStr"/>
      <c r="K30" s="8" t="inlineStr"/>
      <c r="L30" s="9" t="inlineStr"/>
    </row>
    <row r="31" ht="58" customHeight="1">
      <c r="A31" s="4" t="n">
        <v>27</v>
      </c>
      <c r="B31" s="5" t="inlineStr">
        <is>
          <t>Analytics dashboard on login</t>
        </is>
      </c>
      <c r="C31" s="5" t="inlineStr">
        <is>
          <t>Overview of completed and pending across the company.</t>
        </is>
      </c>
      <c r="D31" s="12" t="inlineStr">
        <is>
          <t>Not built</t>
        </is>
      </c>
      <c r="E31" s="5" t="inlineStr">
        <is>
          <t>No dashboard page exists in the product. The one you have seen is the prototype only.</t>
        </is>
      </c>
      <c r="F31" s="7" t="inlineStr">
        <is>
          <t>Us</t>
        </is>
      </c>
      <c r="G31" s="5" t="inlineStr">
        <is>
          <t>Build it: completion by stage, counts by status, and the blocking issues list. Half a day to a day.</t>
        </is>
      </c>
      <c r="H31" s="4" t="n">
        <v>9</v>
      </c>
      <c r="I31" s="7" t="inlineStr"/>
      <c r="J31" s="7" t="inlineStr"/>
      <c r="K31" s="4" t="inlineStr"/>
      <c r="L31" s="5" t="inlineStr"/>
    </row>
    <row r="32" ht="58" customHeight="1">
      <c r="A32" s="8" t="n">
        <v>28</v>
      </c>
      <c r="B32" s="9" t="inlineStr">
        <is>
          <t>UI does not match the shared screens</t>
        </is>
      </c>
      <c r="C32" s="9" t="inlineStr"/>
      <c r="D32" s="11" t="inlineStr">
        <is>
          <t>Done</t>
        </is>
      </c>
      <c r="E32" s="9" t="inlineStr">
        <is>
          <t>Deployed 23 Sep: full product name, coloured page bands, filled stat tiles, role tabs, per-role gating.</t>
        </is>
      </c>
      <c r="F32" s="10" t="inlineStr">
        <is>
          <t>—</t>
        </is>
      </c>
      <c r="G32" s="9" t="inlineStr">
        <is>
          <t>None.</t>
        </is>
      </c>
      <c r="H32" s="8" t="n"/>
      <c r="I32" s="10" t="inlineStr"/>
      <c r="J32" s="10" t="inlineStr"/>
      <c r="K32" s="8" t="inlineStr"/>
      <c r="L32" s="9" t="inlineStr"/>
    </row>
    <row r="33" ht="58" customHeight="1">
      <c r="A33" s="4" t="n">
        <v>29</v>
      </c>
      <c r="B33" s="5" t="inlineStr">
        <is>
          <t>Current designation in the growth section</t>
        </is>
      </c>
      <c r="C33" s="5" t="inlineStr"/>
      <c r="D33" s="12" t="inlineStr">
        <is>
          <t>Not built</t>
        </is>
      </c>
      <c r="E33" s="5" t="inlineStr">
        <is>
          <t>The API has the designation but the Aspiring Career card does not display it.</t>
        </is>
      </c>
      <c r="F33" s="7" t="inlineStr">
        <is>
          <t>Us</t>
        </is>
      </c>
      <c r="G33" s="5" t="inlineStr">
        <is>
          <t>Show 'Current designation - &lt;title&gt;, &lt;department&gt;' above Target role. Small.</t>
        </is>
      </c>
      <c r="H33" s="4" t="n">
        <v>6</v>
      </c>
      <c r="I33" s="7" t="inlineStr"/>
      <c r="J33" s="7" t="inlineStr"/>
      <c r="K33" s="4" t="inlineStr"/>
      <c r="L33" s="5" t="inlineStr"/>
    </row>
    <row r="34" ht="58" customHeight="1">
      <c r="A34" s="8" t="n">
        <v>30</v>
      </c>
      <c r="B34" s="9" t="inlineStr">
        <is>
          <t>Potential rating + mid-year checkpoint</t>
        </is>
      </c>
      <c r="C34" s="9" t="inlineStr">
        <is>
          <t>Add potential rating to the manager rating column; show the halfway reading as a reference scale that does not count.</t>
        </is>
      </c>
      <c r="D34" s="11" t="inlineStr">
        <is>
          <t>Done</t>
        </is>
      </c>
      <c r="E34" s="9" t="inlineStr">
        <is>
          <t>Potential deployed 23 Sep on the manager's evaluation AND at calibration, kept as two separate values so neither overwrites the other. Mid-year already rates per KRA and is excluded from the final rating.</t>
        </is>
      </c>
      <c r="F34" s="10" t="inlineStr">
        <is>
          <t>—</t>
        </is>
      </c>
      <c r="G34" s="9" t="inlineStr">
        <is>
          <t>None.</t>
        </is>
      </c>
      <c r="H34" s="8" t="n"/>
      <c r="I34" s="10" t="inlineStr"/>
      <c r="J34" s="10" t="inlineStr"/>
      <c r="K34" s="8" t="inlineStr"/>
      <c r="L34" s="9" t="inlineStr"/>
    </row>
    <row r="35" ht="58" customHeight="1">
      <c r="A35" s="4" t="n">
        <v>31</v>
      </c>
      <c r="B35" s="5" t="inlineStr">
        <is>
          <t>Quarterly connect should focus more on confirmation</t>
        </is>
      </c>
      <c r="C35" s="5" t="inlineStr"/>
      <c r="D35" s="6" t="inlineStr">
        <is>
          <t>Needs clarification</t>
        </is>
      </c>
      <c r="E35" s="5" t="inlineStr">
        <is>
          <t>Manager sign-off is fully built: a Sign off action, Signed off / Pending sign-off chips and an 'N awaiting sign-off' count. Pending sign-offs are NOT yet listed in All Approvals.</t>
        </is>
      </c>
      <c r="F35" s="7" t="inlineStr">
        <is>
          <t>Mindgate — clarify</t>
        </is>
      </c>
      <c r="G35" s="5" t="inlineStr">
        <is>
          <t>Tell us what 'more confirmation' means beyond sign-off. Adding pending sign-offs to All Approvals is small and we can do it now.</t>
        </is>
      </c>
      <c r="H35" s="4" t="n">
        <v>5</v>
      </c>
      <c r="I35" s="7" t="inlineStr"/>
      <c r="J35" s="7" t="inlineStr"/>
      <c r="K35" s="4" t="inlineStr"/>
      <c r="L35" s="5" t="inlineStr"/>
    </row>
  </sheetData>
  <autoFilter ref="A4:L35"/>
  <mergeCells count="2">
    <mergeCell ref="A2:L2"/>
    <mergeCell ref="A1:L1"/>
  </mergeCells>
  <conditionalFormatting sqref="A5:L35">
    <cfRule type="expression" priority="1" dxfId="0">
      <formula>$K5="Yes"</formula>
    </cfRule>
  </conditionalFormatting>
  <dataValidations count="1">
    <dataValidation sqref="K5:K35" showDropDown="0" showInputMessage="0" showErrorMessage="0" allowBlank="1" type="list">
      <formula1>"Yes,No,In progress"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60" customWidth="1" min="3" max="3"/>
  </cols>
  <sheetData>
    <row r="1">
      <c r="A1" s="13" t="inlineStr">
        <is>
          <t>Where the 31 points stand</t>
        </is>
      </c>
    </row>
    <row r="2">
      <c r="A2" s="2" t="inlineStr">
        <is>
          <t>Counts are formulas over the Tracker tab, so they follow it as you work.</t>
        </is>
      </c>
    </row>
    <row r="4">
      <c r="A4" s="14" t="inlineStr">
        <is>
          <t>Status</t>
        </is>
      </c>
      <c r="B4" s="14" t="inlineStr">
        <is>
          <t>Points</t>
        </is>
      </c>
      <c r="C4" s="14" t="inlineStr">
        <is>
          <t>What it means</t>
        </is>
      </c>
    </row>
    <row r="5">
      <c r="A5" s="15" t="inlineStr">
        <is>
          <t>Done</t>
        </is>
      </c>
      <c r="B5" s="16">
        <f>COUNTIF(Tracker!$D$5:$D$35,"Done*")</f>
        <v/>
      </c>
      <c r="C5" s="16" t="inlineStr">
        <is>
          <t>Shipped and verified on production — nothing to do.</t>
        </is>
      </c>
    </row>
    <row r="6">
      <c r="A6" s="17" t="inlineStr">
        <is>
          <t>Partly done</t>
        </is>
      </c>
      <c r="B6" s="16">
        <f>COUNTIF(Tracker!$D$5:$D$35,A6)</f>
        <v/>
      </c>
      <c r="C6" s="16" t="inlineStr">
        <is>
          <t>Part of the ask is live; the rest is listed in Next action.</t>
        </is>
      </c>
    </row>
    <row r="7">
      <c r="A7" s="17" t="inlineStr">
        <is>
          <t>Blocked on data</t>
        </is>
      </c>
      <c r="B7" s="16">
        <f>COUNTIF(Tracker!$D$5:$D$35,A7)</f>
        <v/>
      </c>
      <c r="C7" s="16" t="inlineStr">
        <is>
          <t>Built, waiting on values only Mindgate can supply.</t>
        </is>
      </c>
    </row>
    <row r="8">
      <c r="A8" s="17" t="inlineStr">
        <is>
          <t>Blocked on credentials</t>
        </is>
      </c>
      <c r="B8" s="16">
        <f>COUNTIF(Tracker!$D$5:$D$35,A8)</f>
        <v/>
      </c>
      <c r="C8" s="16" t="inlineStr">
        <is>
          <t>Built, waiting on SMTP or Google credentials.</t>
        </is>
      </c>
    </row>
    <row r="9">
      <c r="A9" s="17" t="inlineStr">
        <is>
          <t>Blocked on accounts</t>
        </is>
      </c>
      <c r="B9" s="16">
        <f>COUNTIF(Tracker!$D$5:$D$35,A9)</f>
        <v/>
      </c>
      <c r="C9" s="16" t="inlineStr">
        <is>
          <t>Built, cannot be tested until test logins exist.</t>
        </is>
      </c>
    </row>
    <row r="10">
      <c r="A10" s="17" t="inlineStr">
        <is>
          <t>Needs clarification</t>
        </is>
      </c>
      <c r="B10" s="16">
        <f>COUNTIF(Tracker!$D$5:$D$35,A10)</f>
        <v/>
      </c>
      <c r="C10" s="16" t="inlineStr">
        <is>
          <t>We need to know what you mean before building.</t>
        </is>
      </c>
    </row>
    <row r="11">
      <c r="A11" s="18" t="inlineStr">
        <is>
          <t>Not built</t>
        </is>
      </c>
      <c r="B11" s="16">
        <f>COUNTIF(Tracker!$D$5:$D$35,A11)</f>
        <v/>
      </c>
      <c r="C11" s="16" t="inlineStr">
        <is>
          <t>No code for this yet.</t>
        </is>
      </c>
    </row>
    <row r="12">
      <c r="A12" s="19" t="inlineStr">
        <is>
          <t>Total</t>
        </is>
      </c>
      <c r="B12" s="19">
        <f>COUNTA(Tracker!$A$5:$A$35)</f>
        <v/>
      </c>
      <c r="C12" s="20" t="n"/>
    </row>
    <row r="14">
      <c r="A14" s="21" t="inlineStr">
        <is>
          <t>Marked Yes by you</t>
        </is>
      </c>
      <c r="B14" s="22">
        <f>COUNTIF(Tracker!$K$5:$K$35,"Yes")</f>
        <v/>
      </c>
    </row>
    <row r="15">
      <c r="A15" s="21" t="inlineStr">
        <is>
          <t>Still open</t>
        </is>
      </c>
      <c r="B15" s="22">
        <f>B12-B14</f>
        <v/>
      </c>
    </row>
    <row r="17">
      <c r="A17" s="23" t="inlineStr">
        <is>
          <t>Suggested order of work (from the Tracker's 'Suggested order' column)</t>
        </is>
      </c>
    </row>
    <row r="18" ht="15" customHeight="1">
      <c r="A18" s="21" t="inlineStr">
        <is>
          <t>1</t>
        </is>
      </c>
      <c r="B18" s="22" t="inlineStr">
        <is>
          <t>Rotate the Anthropic API key on the production box — overdue, and the key is live.</t>
        </is>
      </c>
    </row>
    <row r="19" ht="15" customHeight="1">
      <c r="A19" s="21" t="inlineStr">
        <is>
          <t>2</t>
        </is>
      </c>
      <c r="B19" s="22" t="inlineStr">
        <is>
          <t>Create one employee and one manager test login (point 22). Unblocks 7, and lets you test 24, 25, 26.</t>
        </is>
      </c>
    </row>
    <row r="20" ht="15" customHeight="1">
      <c r="A20" s="21" t="inlineStr">
        <is>
          <t>3</t>
        </is>
      </c>
      <c r="B20" s="22" t="inlineStr">
        <is>
          <t>Decide point 1: should an approved growth plan be editable without the manager returning it?</t>
        </is>
      </c>
    </row>
    <row r="21" ht="15" customHeight="1">
      <c r="A21" s="21" t="inlineStr">
        <is>
          <t>4</t>
        </is>
      </c>
      <c r="B21" s="22" t="inlineStr">
        <is>
          <t>Add Department values to the KRA library (points 2 and 12).</t>
        </is>
      </c>
    </row>
    <row r="22" ht="15" customHeight="1">
      <c r="A22" s="21" t="inlineStr">
        <is>
          <t>5</t>
        </is>
      </c>
      <c r="B22" s="22" t="inlineStr">
        <is>
          <t>Fill the Career Pathing Matrix (13), and tell us what 'more confirmation' means for connects (31).</t>
        </is>
      </c>
    </row>
    <row r="23" ht="15" customHeight="1">
      <c r="A23" s="21" t="inlineStr">
        <is>
          <t>6</t>
        </is>
      </c>
      <c r="B23" s="22" t="inlineStr">
        <is>
          <t>Answer the four KRA unique-ID questions (4). We build point 29 meanwhile — it is small.</t>
        </is>
      </c>
    </row>
    <row r="24" ht="15" customHeight="1">
      <c r="A24" s="21" t="inlineStr">
        <is>
          <t>7</t>
        </is>
      </c>
      <c r="B24" s="22" t="inlineStr">
        <is>
          <t>We build the KRA approval workflow and the manager pending/approved tabs (24 and 26).</t>
        </is>
      </c>
    </row>
    <row r="25" ht="15" customHeight="1">
      <c r="A25" s="21" t="inlineStr">
        <is>
          <t>8</t>
        </is>
      </c>
      <c r="B25" s="22" t="inlineStr">
        <is>
          <t>We add search to the list-heavy pages (23).</t>
        </is>
      </c>
    </row>
    <row r="26" ht="15" customHeight="1">
      <c r="A26" s="21" t="inlineStr">
        <is>
          <t>9</t>
        </is>
      </c>
      <c r="B26" s="22" t="inlineStr">
        <is>
          <t>We build the analytics dashboard (27).</t>
        </is>
      </c>
    </row>
  </sheetData>
  <mergeCells count="9">
    <mergeCell ref="B21:C21"/>
    <mergeCell ref="B24:C24"/>
    <mergeCell ref="B25:C25"/>
    <mergeCell ref="B19:C19"/>
    <mergeCell ref="B20:C20"/>
    <mergeCell ref="B23:C23"/>
    <mergeCell ref="B22:C22"/>
    <mergeCell ref="B26:C26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2" customWidth="1" min="2" max="2"/>
    <col width="58" customWidth="1" min="3" max="3"/>
    <col width="26" customWidth="1" min="4" max="4"/>
    <col width="11" customWidth="1" min="5" max="5"/>
  </cols>
  <sheetData>
    <row r="1">
      <c r="A1" s="13" t="inlineStr">
        <is>
          <t>The nine points waiting on Mindgate</t>
        </is>
      </c>
    </row>
    <row r="2">
      <c r="A2" s="2" t="inlineStr">
        <is>
          <t>Nothing on this tab can be finished by us alone.</t>
        </is>
      </c>
    </row>
    <row r="4">
      <c r="A4" s="14" t="inlineStr">
        <is>
          <t>Point</t>
        </is>
      </c>
      <c r="B4" s="14" t="inlineStr">
        <is>
          <t>What we need</t>
        </is>
      </c>
      <c r="C4" s="14" t="inlineStr">
        <is>
          <t>Why it is stuck</t>
        </is>
      </c>
      <c r="D4" s="14" t="inlineStr">
        <is>
          <t>Who</t>
        </is>
      </c>
      <c r="E4" s="14" t="inlineStr">
        <is>
          <t>Provided?</t>
        </is>
      </c>
    </row>
    <row r="5" ht="32" customHeight="1">
      <c r="A5" s="24" t="inlineStr">
        <is>
          <t>22</t>
        </is>
      </c>
      <c r="B5" s="25" t="inlineStr">
        <is>
          <t>One employee login and one manager login on production</t>
        </is>
      </c>
      <c r="C5" s="25" t="inlineStr">
        <is>
          <t>Only hr.admin@mindgate.com has a password; 239 managers have a role but no way in</t>
        </is>
      </c>
      <c r="D5" s="24" t="inlineStr">
        <is>
          <t>Mindgate / us on your word</t>
        </is>
      </c>
      <c r="E5" s="24" t="inlineStr"/>
    </row>
    <row r="6" ht="32" customHeight="1">
      <c r="A6" s="26" t="inlineStr">
        <is>
          <t>2, 12</t>
        </is>
      </c>
      <c r="B6" s="27" t="inlineStr">
        <is>
          <t>A Department value on the KRA library rows</t>
        </is>
      </c>
      <c r="C6" s="27" t="inlineStr">
        <is>
          <t>0 of 2,155 rows carry one, so matching can only use designation</t>
        </is>
      </c>
      <c r="D6" s="26" t="inlineStr">
        <is>
          <t>Mindgate — HR</t>
        </is>
      </c>
      <c r="E6" s="26" t="inlineStr"/>
    </row>
    <row r="7" ht="32" customHeight="1">
      <c r="A7" s="24" t="inlineStr">
        <is>
          <t>5</t>
        </is>
      </c>
      <c r="B7" s="25" t="inlineStr">
        <is>
          <t>Google OAuth client ID and secret</t>
        </is>
      </c>
      <c r="C7" s="25" t="inlineStr">
        <is>
          <t>Meet cannot be connected without them</t>
        </is>
      </c>
      <c r="D7" s="24" t="inlineStr">
        <is>
          <t>Mindgate — IT</t>
        </is>
      </c>
      <c r="E7" s="24" t="inlineStr"/>
    </row>
    <row r="8" ht="32" customHeight="1">
      <c r="A8" s="26" t="inlineStr">
        <is>
          <t>17</t>
        </is>
      </c>
      <c r="B8" s="27" t="inlineStr">
        <is>
          <t>SMTP host, port, user, password</t>
        </is>
      </c>
      <c r="C8" s="27" t="inlineStr">
        <is>
          <t>Connect scheduling cannot send email</t>
        </is>
      </c>
      <c r="D8" s="26" t="inlineStr">
        <is>
          <t>Mindgate — IT</t>
        </is>
      </c>
      <c r="E8" s="26" t="inlineStr"/>
    </row>
    <row r="9" ht="32" customHeight="1">
      <c r="A9" s="24" t="inlineStr">
        <is>
          <t>1</t>
        </is>
      </c>
      <c r="B9" s="25" t="inlineStr">
        <is>
          <t>A decision: may an approved growth plan be edited directly?</t>
        </is>
      </c>
      <c r="C9" s="25" t="inlineStr">
        <is>
          <t>Today it must be returned by the manager first</t>
        </is>
      </c>
      <c r="D9" s="24" t="inlineStr">
        <is>
          <t>Mindgate</t>
        </is>
      </c>
      <c r="E9" s="24" t="inlineStr"/>
    </row>
    <row r="10" ht="32" customHeight="1">
      <c r="A10" s="26" t="inlineStr">
        <is>
          <t>4</t>
        </is>
      </c>
      <c r="B10" s="27" t="inlineStr">
        <is>
          <t>Four answers on KRA unique IDs — format, scope, regeneration, back-fill</t>
        </is>
      </c>
      <c r="C10" s="27" t="inlineStr">
        <is>
          <t>No scheme can be chosen without them</t>
        </is>
      </c>
      <c r="D10" s="26" t="inlineStr">
        <is>
          <t>Mindgate</t>
        </is>
      </c>
      <c r="E10" s="26" t="inlineStr"/>
    </row>
    <row r="11" ht="32" customHeight="1">
      <c r="A11" s="24" t="inlineStr">
        <is>
          <t>13</t>
        </is>
      </c>
      <c r="B11" s="25" t="inlineStr">
        <is>
          <t>Career Pathing Matrix content</t>
        </is>
      </c>
      <c r="C11" s="25" t="inlineStr">
        <is>
          <t>The matrix is empty, so Aspiring Career has no target roles to offer</t>
        </is>
      </c>
      <c r="D11" s="24" t="inlineStr">
        <is>
          <t>Mindgate — HR</t>
        </is>
      </c>
      <c r="E11" s="24" t="inlineStr"/>
    </row>
    <row r="12" ht="32" customHeight="1">
      <c r="A12" s="26" t="inlineStr">
        <is>
          <t>31</t>
        </is>
      </c>
      <c r="B12" s="27" t="inlineStr">
        <is>
          <t>What 'more confirmation' means beyond manager sign-off</t>
        </is>
      </c>
      <c r="C12" s="27" t="inlineStr">
        <is>
          <t>Sign-off is already built</t>
        </is>
      </c>
      <c r="D12" s="26" t="inlineStr">
        <is>
          <t>Mindgate</t>
        </is>
      </c>
      <c r="E12" s="26" t="inlineStr"/>
    </row>
    <row r="13" ht="32" customHeight="1">
      <c r="A13" s="24" t="inlineStr">
        <is>
          <t>8</t>
        </is>
      </c>
      <c r="B13" s="25" t="inlineStr">
        <is>
          <t>Rotate the Anthropic API key</t>
        </is>
      </c>
      <c r="C13" s="25" t="inlineStr">
        <is>
          <t>Flagged repeatedly; the key is live on the box</t>
        </is>
      </c>
      <c r="D13" s="24" t="inlineStr">
        <is>
          <t>Mindgate — IT</t>
        </is>
      </c>
      <c r="E13" s="24" t="inlineStr"/>
    </row>
  </sheetData>
  <dataValidations count="1">
    <dataValidation sqref="E5:E1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2026-09-23T03:11:39Z</dcterms:created>
  <dcterms:modified xmlns:dcterms="http://purl.org/dc/terms/" xmlns:xsi="http://www.w3.org/2001/XMLSchema-instance" xsi:type="dcterms:W3CDTF">2026-09-23T03:11:39Z</dcterms:modified>
</cp:coreProperties>
</file>