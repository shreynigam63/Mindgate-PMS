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sheetId="1" state="visible" r:id="rId1"/>
    <sheet xmlns:r="http://schemas.openxmlformats.org/officeDocument/2006/relationships" name="After the 31 points" sheetId="2" state="visible" r:id="rId2"/>
    <sheet xmlns:r="http://schemas.openxmlformats.org/officeDocument/2006/relationships" name="Tracker" sheetId="3" state="visible" r:id="rId3"/>
    <sheet xmlns:r="http://schemas.openxmlformats.org/officeDocument/2006/relationships" name="Summary" sheetId="4" state="visible" r:id="rId4"/>
    <sheet xmlns:r="http://schemas.openxmlformats.org/officeDocument/2006/relationships" name="What we need from you" sheetId="5" state="visible" r:id="rId5"/>
  </sheets>
  <definedNames>
    <definedName name="_xlnm._FilterDatabase" localSheetId="2" hidden="1">'Tracker'!$A$4:$L$35</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B3B6F"/>
      <sz val="15"/>
    </font>
    <font>
      <name val="Arial"/>
      <i val="1"/>
      <color rgb="003A5A8C"/>
      <sz val="9"/>
    </font>
    <font>
      <name val="Arial"/>
      <b val="1"/>
      <color rgb="00FFFFFF"/>
      <sz val="10"/>
    </font>
    <font>
      <name val="Arial"/>
      <sz val="10"/>
    </font>
    <font>
      <name val="Arial"/>
      <b val="1"/>
      <sz val="10"/>
    </font>
    <font>
      <name val="Arial"/>
      <b val="1"/>
      <color rgb="001B3B6F"/>
      <sz val="14"/>
    </font>
    <font>
      <name val="Arial"/>
      <b val="1"/>
      <color rgb="001B3B6F"/>
      <sz val="11"/>
    </font>
    <font>
      <b val="1"/>
      <color rgb="001B3B6F"/>
      <sz val="15"/>
    </font>
    <font>
      <color rgb="003A5A8C"/>
      <sz val="9"/>
    </font>
    <font>
      <b val="1"/>
      <color rgb="00000000"/>
      <sz val="10"/>
    </font>
    <font>
      <color rgb="00000000"/>
      <sz val="10"/>
    </font>
    <font>
      <b val="1"/>
      <color rgb="00FFFFFF"/>
      <sz val="10"/>
    </font>
    <font>
      <name val="Arial"/>
      <b val="1"/>
      <sz val="14"/>
    </font>
    <font>
      <name val="Arial"/>
      <i val="1"/>
      <sz val="9"/>
    </font>
    <font>
      <name val="Arial"/>
      <b val="1"/>
      <color rgb="00FFFFFF"/>
    </font>
    <font>
      <name val="Arial"/>
    </font>
    <font>
      <b val="1"/>
      <sz val="10"/>
    </font>
    <font>
      <sz val="10"/>
    </font>
  </fonts>
  <fills count="7">
    <fill>
      <patternFill/>
    </fill>
    <fill>
      <patternFill patternType="gray125"/>
    </fill>
    <fill>
      <patternFill patternType="solid">
        <fgColor rgb="001B3B6F"/>
      </patternFill>
    </fill>
    <fill>
      <patternFill patternType="solid">
        <fgColor rgb="00FFF3E0"/>
      </patternFill>
    </fill>
    <fill>
      <patternFill patternType="solid">
        <fgColor rgb="00F4F7FC"/>
      </patternFill>
    </fill>
    <fill>
      <patternFill patternType="solid">
        <fgColor rgb="00E3F4E4"/>
      </patternFill>
    </fill>
    <fill>
      <patternFill patternType="solid">
        <fgColor rgb="00FDE7EE"/>
      </patternFill>
    </fill>
  </fills>
  <borders count="3">
    <border>
      <left/>
      <right/>
      <top/>
      <bottom/>
      <diagonal/>
    </border>
    <border>
      <left style="thin">
        <color rgb="00DBE3EF"/>
      </left>
      <right style="thin">
        <color rgb="00DBE3EF"/>
      </right>
      <top style="thin">
        <color rgb="00DBE3EF"/>
      </top>
      <bottom style="thin">
        <color rgb="00DBE3EF"/>
      </bottom>
    </border>
    <border>
      <bottom style="thin">
        <color rgb="00DBE3E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3" borderId="1" applyAlignment="1" pivotButton="0" quotePrefix="0" xfId="0">
      <alignment horizontal="left" vertical="top"/>
    </xf>
    <xf numFmtId="0" fontId="4" fillId="0" borderId="1" applyAlignment="1" pivotButton="0" quotePrefix="0" xfId="0">
      <alignment horizontal="left" vertical="top"/>
    </xf>
    <xf numFmtId="0" fontId="4" fillId="4" borderId="1" applyAlignment="1" pivotButton="0" quotePrefix="0" xfId="0">
      <alignment horizontal="center" vertical="top"/>
    </xf>
    <xf numFmtId="0" fontId="4" fillId="4" borderId="1" applyAlignment="1" pivotButton="0" quotePrefix="0" xfId="0">
      <alignment horizontal="left" vertical="top" wrapText="1"/>
    </xf>
    <xf numFmtId="0" fontId="4" fillId="4" borderId="1" applyAlignment="1" pivotButton="0" quotePrefix="0" xfId="0">
      <alignment horizontal="left" vertical="top"/>
    </xf>
    <xf numFmtId="0" fontId="5" fillId="5" borderId="1" applyAlignment="1" pivotButton="0" quotePrefix="0" xfId="0">
      <alignment horizontal="left" vertical="top"/>
    </xf>
    <xf numFmtId="0" fontId="5" fillId="6" borderId="1" applyAlignment="1" pivotButton="0" quotePrefix="0" xfId="0">
      <alignment horizontal="left" vertical="top"/>
    </xf>
    <xf numFmtId="0" fontId="6" fillId="0" borderId="0" pivotButton="0" quotePrefix="0" xfId="0"/>
    <xf numFmtId="0" fontId="3" fillId="2" borderId="1" pivotButton="0" quotePrefix="0" xfId="0"/>
    <xf numFmtId="0" fontId="5" fillId="5" borderId="1" pivotButton="0" quotePrefix="0" xfId="0"/>
    <xf numFmtId="0" fontId="4" fillId="0" borderId="1" pivotButton="0" quotePrefix="0" xfId="0"/>
    <xf numFmtId="0" fontId="5" fillId="3" borderId="1" pivotButton="0" quotePrefix="0" xfId="0"/>
    <xf numFmtId="0" fontId="5" fillId="6" borderId="1" pivotButton="0" quotePrefix="0" xfId="0"/>
    <xf numFmtId="0" fontId="5" fillId="0" borderId="1" pivotButton="0" quotePrefix="0" xfId="0"/>
    <xf numFmtId="0" fontId="0" fillId="0" borderId="1" pivotButton="0" quotePrefix="0" xfId="0"/>
    <xf numFmtId="0" fontId="5" fillId="0" borderId="0" pivotButton="0" quotePrefix="0" xfId="0"/>
    <xf numFmtId="0" fontId="4" fillId="0" borderId="0" pivotButton="0" quotePrefix="0" xfId="0"/>
    <xf numFmtId="0" fontId="7"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2" applyAlignment="1" pivotButton="0" quotePrefix="0" xfId="0">
      <alignment vertical="top"/>
    </xf>
    <xf numFmtId="0" fontId="10" fillId="0" borderId="2" applyAlignment="1" pivotButton="0" quotePrefix="0" xfId="0">
      <alignment horizontal="left" vertical="top"/>
    </xf>
    <xf numFmtId="0" fontId="11" fillId="0" borderId="2" applyAlignment="1" pivotButton="0" quotePrefix="0" xfId="0">
      <alignment vertical="top"/>
    </xf>
    <xf numFmtId="0" fontId="12" fillId="2" borderId="2" applyAlignment="1" pivotButton="0" quotePrefix="0" xfId="0">
      <alignment vertical="center" wrapText="1"/>
    </xf>
    <xf numFmtId="0" fontId="11" fillId="0" borderId="2" applyAlignment="1" pivotButton="0" quotePrefix="0" xfId="0">
      <alignment horizontal="center" vertical="top"/>
    </xf>
    <xf numFmtId="0" fontId="11" fillId="0" borderId="2" applyAlignment="1" pivotButton="0" quotePrefix="0" xfId="0">
      <alignment vertical="top" wrapText="1"/>
    </xf>
    <xf numFmtId="0" fontId="10" fillId="6" borderId="2" applyAlignment="1" pivotButton="0" quotePrefix="0" xfId="0">
      <alignment vertical="top"/>
    </xf>
    <xf numFmtId="0" fontId="10" fillId="5" borderId="2" applyAlignment="1" pivotButton="0" quotePrefix="0" xfId="0">
      <alignment vertical="top"/>
    </xf>
    <xf numFmtId="0" fontId="9" fillId="0" borderId="0" applyAlignment="1" pivotButton="0" quotePrefix="0" xfId="0">
      <alignment vertical="top" wrapText="1"/>
    </xf>
    <xf numFmtId="0" fontId="13" fillId="0" borderId="0" pivotButton="0" quotePrefix="0" xfId="0"/>
    <xf numFmtId="0" fontId="14" fillId="0" borderId="0" pivotButton="0" quotePrefix="0" xfId="0"/>
    <xf numFmtId="0" fontId="15" fillId="2" borderId="0" applyAlignment="1" pivotButton="0" quotePrefix="0" xfId="0">
      <alignment vertical="top" wrapText="1"/>
    </xf>
    <xf numFmtId="0" fontId="16" fillId="0" borderId="0" applyAlignment="1" pivotButton="0" quotePrefix="0" xfId="0">
      <alignment vertical="top" wrapText="1"/>
    </xf>
    <xf numFmtId="0" fontId="18" fillId="0" borderId="2" applyAlignment="1" pivotButton="0" quotePrefix="0" xfId="0">
      <alignment vertical="top"/>
    </xf>
    <xf numFmtId="0" fontId="18" fillId="0" borderId="2" applyAlignment="1" pivotButton="0" quotePrefix="0" xfId="0">
      <alignment vertical="top" wrapText="1"/>
    </xf>
    <xf numFmtId="0" fontId="17" fillId="6" borderId="2" applyAlignment="1" pivotButton="0" quotePrefix="0" xfId="0">
      <alignment vertical="top"/>
    </xf>
    <xf numFmtId="0" fontId="17" fillId="5" borderId="2" applyAlignment="1" pivotButton="0" quotePrefix="0" xfId="0">
      <alignment vertical="top"/>
    </xf>
    <xf numFmtId="0" fontId="9" fillId="0" borderId="2" applyAlignment="1" pivotButton="0" quotePrefix="0" xfId="0">
      <alignment vertical="top" wrapText="1"/>
    </xf>
    <xf numFmtId="0" fontId="18" fillId="0" borderId="1" applyAlignment="1" pivotButton="0" quotePrefix="0" xfId="0">
      <alignment vertical="top" wrapText="1"/>
    </xf>
    <xf numFmtId="0" fontId="18" fillId="4" borderId="1" applyAlignment="1" pivotButton="0" quotePrefix="0" xfId="0">
      <alignment vertical="top" wrapText="1"/>
    </xf>
  </cellXfs>
  <cellStyles count="1">
    <cellStyle name="Normal" xfId="0" builtinId="0" hidden="0"/>
  </cellStyles>
  <dxfs count="1">
    <dxf>
      <fill>
        <patternFill patternType="solid">
          <fgColor rgb="00EAF6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Claude</author>
  </authors>
  <commentList>
    <comment ref="E4" authorId="0" shapeId="0">
      <text>
        <t>Each line says what was actually inspected — an endpoint called, a query run on the live database, or a file read — so a status can be challenged on the evidence.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41"/>
  <sheetViews>
    <sheetView workbookViewId="0">
      <pane ySplit="8" topLeftCell="A9" activePane="bottomLeft" state="frozen"/>
      <selection pane="bottomLeft" activeCell="A1" sqref="A1"/>
    </sheetView>
  </sheetViews>
  <sheetFormatPr baseColWidth="8" defaultRowHeight="15"/>
  <cols>
    <col width="5" customWidth="1" min="1" max="1"/>
    <col width="46" customWidth="1" min="2" max="2"/>
    <col width="14" customWidth="1" min="3" max="3"/>
    <col width="72" customWidth="1" min="4" max="4"/>
    <col width="24" customWidth="1" min="5" max="5"/>
  </cols>
  <sheetData>
    <row r="1">
      <c r="A1" s="28" t="inlineStr">
        <is>
          <t>Agentic PMS — the 31 points, completed or pending</t>
        </is>
      </c>
    </row>
    <row r="2">
      <c r="A2" s="29" t="inlineStr">
        <is>
          <t>Re-checked on 25 Sep 2026 against the code deployed to production (commit f0b36bd, 52 migrations) and against the production database, then updated with Mindgate's confirmations of 25 Sep: points 1, 2, 4, 7 and 12 closed. 27 completed, 4 pending. The Tracker tab carries the detail; the "After the 31 points" tab lists the work raised since this list was drawn up.</t>
        </is>
      </c>
    </row>
    <row r="4">
      <c r="A4" s="30" t="inlineStr">
        <is>
          <t>Completed</t>
        </is>
      </c>
      <c r="B4" s="31" t="n">
        <v>27</v>
      </c>
      <c r="C4" s="32" t="n"/>
      <c r="D4" s="32" t="n"/>
      <c r="E4" s="32" t="n"/>
    </row>
    <row r="5">
      <c r="A5" s="30" t="inlineStr">
        <is>
          <t>Pending</t>
        </is>
      </c>
      <c r="B5" s="31" t="n">
        <v>4</v>
      </c>
      <c r="C5" s="32" t="n"/>
      <c r="D5" s="32" t="n"/>
      <c r="E5" s="32" t="n"/>
    </row>
    <row r="6">
      <c r="A6" s="30" t="inlineStr">
        <is>
          <t>Total</t>
        </is>
      </c>
      <c r="B6" s="31" t="n">
        <v>31</v>
      </c>
      <c r="C6" s="32" t="n"/>
      <c r="D6" s="32" t="n"/>
      <c r="E6" s="32" t="n"/>
    </row>
    <row r="8" ht="26" customHeight="1">
      <c r="A8" s="33" t="inlineStr">
        <is>
          <t>#</t>
        </is>
      </c>
      <c r="B8" s="33" t="inlineStr">
        <is>
          <t>Point</t>
        </is>
      </c>
      <c r="C8" s="33" t="inlineStr">
        <is>
          <t>Status</t>
        </is>
      </c>
      <c r="D8" s="33" t="inlineStr">
        <is>
          <t>If pending, what it is waiting on</t>
        </is>
      </c>
      <c r="E8" s="33" t="inlineStr">
        <is>
          <t>Waiting on</t>
        </is>
      </c>
    </row>
    <row r="9" ht="44" customHeight="1">
      <c r="A9" s="43" t="n">
        <v>5</v>
      </c>
      <c r="B9" s="44" t="inlineStr">
        <is>
          <t>Google Meet integration</t>
        </is>
      </c>
      <c r="C9" s="45" t="inlineStr">
        <is>
          <t>Pending</t>
        </is>
      </c>
      <c r="D9" s="44" t="inlineStr">
        <is>
          <t>Provide Google OAuth client ID and secret for the workspace. Not configured on the box as of 25 Sep.</t>
        </is>
      </c>
      <c r="E9" s="44" t="inlineStr">
        <is>
          <t>Mindgate — credentials</t>
        </is>
      </c>
    </row>
    <row r="10" ht="44" customHeight="1">
      <c r="A10" s="43" t="n">
        <v>17</v>
      </c>
      <c r="B10" s="44" t="inlineStr">
        <is>
          <t>Quarterly Connect email</t>
        </is>
      </c>
      <c r="C10" s="45" t="inlineStr">
        <is>
          <t>Pending</t>
        </is>
      </c>
      <c r="D10" s="44" t="inlineStr">
        <is>
          <t>Provide SMTP host, port, user and password. Still unset on production, so no mail leaves the box.</t>
        </is>
      </c>
      <c r="E10" s="44" t="inlineStr">
        <is>
          <t>Mindgate — credentials</t>
        </is>
      </c>
    </row>
    <row r="11" ht="44" customHeight="1">
      <c r="A11" s="43" t="n">
        <v>22</v>
      </c>
      <c r="B11" s="44" t="inlineStr">
        <is>
          <t>Access setup for testing</t>
        </is>
      </c>
      <c r="C11" s="45" t="inlineStr">
        <is>
          <t>Pending</t>
        </is>
      </c>
      <c r="D11" s="44" t="inlineStr">
        <is>
          <t>Mindgate is creating the employee and manager logins. Production has two logins today (hr.admin@mindgate.com, pavan.kumar@mindgate.in). Say the word if you would rather we created them.</t>
        </is>
      </c>
      <c r="E11" s="44" t="inlineStr">
        <is>
          <t>Mindgate — accounts</t>
        </is>
      </c>
    </row>
    <row r="12" ht="44" customHeight="1">
      <c r="A12" s="43" t="n">
        <v>31</v>
      </c>
      <c r="B12" s="44" t="inlineStr">
        <is>
          <t>Quarterly connect should focus more on confirmation</t>
        </is>
      </c>
      <c r="C12" s="45" t="inlineStr">
        <is>
          <t>Pending</t>
        </is>
      </c>
      <c r="D12" s="44" t="inlineStr">
        <is>
          <t>Tell us what 'more confirmation' means beyond the sign-off that already exists. Adding pending sign-offs to All Approvals is small and we can do it now.</t>
        </is>
      </c>
      <c r="E12" s="44" t="inlineStr">
        <is>
          <t>Mindgate — clarify</t>
        </is>
      </c>
    </row>
    <row r="13" ht="16" customHeight="1">
      <c r="A13" s="43" t="n">
        <v>1</v>
      </c>
      <c r="B13" s="44" t="inlineStr">
        <is>
          <t>Approved goals: remove the edit lock</t>
        </is>
      </c>
      <c r="C13" s="46" t="inlineStr">
        <is>
          <t>Completed</t>
        </is>
      </c>
      <c r="D13" s="47" t="inlineStr">
        <is>
          <t>Closed by Mindgate 25 Sep</t>
        </is>
      </c>
      <c r="E13" s="44" t="n"/>
    </row>
    <row r="14" ht="16" customHeight="1">
      <c r="A14" s="43" t="n">
        <v>2</v>
      </c>
      <c r="B14" s="44" t="inlineStr">
        <is>
          <t>Department dropdown for KRA setup</t>
        </is>
      </c>
      <c r="C14" s="46" t="inlineStr">
        <is>
          <t>Completed</t>
        </is>
      </c>
      <c r="D14" s="47" t="inlineStr">
        <is>
          <t>Closed by Mindgate 25 Sep</t>
        </is>
      </c>
      <c r="E14" s="44" t="n"/>
    </row>
    <row r="15" ht="16" customHeight="1">
      <c r="A15" s="43" t="n">
        <v>3</v>
      </c>
      <c r="B15" s="44" t="inlineStr">
        <is>
          <t>Associate the growth path after the KRA</t>
        </is>
      </c>
      <c r="C15" s="46" t="inlineStr">
        <is>
          <t>Completed</t>
        </is>
      </c>
      <c r="D15" s="47" t="n"/>
      <c r="E15" s="44" t="n"/>
    </row>
    <row r="16" ht="16" customHeight="1">
      <c r="A16" s="43" t="n">
        <v>4</v>
      </c>
      <c r="B16" s="44" t="inlineStr">
        <is>
          <t>KRA unique ID</t>
        </is>
      </c>
      <c r="C16" s="46" t="inlineStr">
        <is>
          <t>Completed</t>
        </is>
      </c>
      <c r="D16" s="47" t="inlineStr">
        <is>
          <t>Closed by Mindgate 25 Sep</t>
        </is>
      </c>
      <c r="E16" s="44" t="n"/>
    </row>
    <row r="17" ht="16" customHeight="1">
      <c r="A17" s="43" t="n">
        <v>6</v>
      </c>
      <c r="B17" s="44" t="inlineStr">
        <is>
          <t>KRAs always open + new-hire auto-assign</t>
        </is>
      </c>
      <c r="C17" s="46" t="inlineStr">
        <is>
          <t>Completed</t>
        </is>
      </c>
      <c r="D17" s="47" t="n"/>
      <c r="E17" s="44" t="n"/>
    </row>
    <row r="18" ht="16" customHeight="1">
      <c r="A18" s="43" t="n">
        <v>7</v>
      </c>
      <c r="B18" s="44" t="inlineStr">
        <is>
          <t>RM approval issue</t>
        </is>
      </c>
      <c r="C18" s="46" t="inlineStr">
        <is>
          <t>Completed</t>
        </is>
      </c>
      <c r="D18" s="47" t="inlineStr">
        <is>
          <t>Confirmed working by Mindgate 25 Sep</t>
        </is>
      </c>
      <c r="E18" s="44" t="n"/>
    </row>
    <row r="19" ht="16" customHeight="1">
      <c r="A19" s="43" t="n">
        <v>8</v>
      </c>
      <c r="B19" s="44" t="inlineStr">
        <is>
          <t>ANTHROPIC_API_KEY missing in My Growth</t>
        </is>
      </c>
      <c r="C19" s="46" t="inlineStr">
        <is>
          <t>Completed</t>
        </is>
      </c>
      <c r="D19" s="47" t="n"/>
      <c r="E19" s="44" t="n"/>
    </row>
    <row r="20" ht="16" customHeight="1">
      <c r="A20" s="43" t="n">
        <v>9</v>
      </c>
      <c r="B20" s="44" t="inlineStr">
        <is>
          <t>KRA Library editing</t>
        </is>
      </c>
      <c r="C20" s="46" t="inlineStr">
        <is>
          <t>Completed</t>
        </is>
      </c>
      <c r="D20" s="47" t="n"/>
      <c r="E20" s="44" t="n"/>
    </row>
    <row r="21" ht="16" customHeight="1">
      <c r="A21" s="43" t="n">
        <v>10</v>
      </c>
      <c r="B21" s="44" t="inlineStr">
        <is>
          <t>Role / department change</t>
        </is>
      </c>
      <c r="C21" s="46" t="inlineStr">
        <is>
          <t>Completed</t>
        </is>
      </c>
      <c r="D21" s="47" t="n"/>
      <c r="E21" s="44" t="n"/>
    </row>
    <row r="22" ht="16" customHeight="1">
      <c r="A22" s="43" t="n">
        <v>11</v>
      </c>
      <c r="B22" s="44" t="inlineStr">
        <is>
          <t>'Select all KRAs' in My Growth</t>
        </is>
      </c>
      <c r="C22" s="46" t="inlineStr">
        <is>
          <t>Completed</t>
        </is>
      </c>
      <c r="D22" s="47" t="n"/>
      <c r="E22" s="44" t="n"/>
    </row>
    <row r="23" ht="16" customHeight="1">
      <c r="A23" s="43" t="n">
        <v>12</v>
      </c>
      <c r="B23" s="44" t="inlineStr">
        <is>
          <t>KRA synchronisation</t>
        </is>
      </c>
      <c r="C23" s="46" t="inlineStr">
        <is>
          <t>Completed</t>
        </is>
      </c>
      <c r="D23" s="47" t="inlineStr">
        <is>
          <t>Closed by Mindgate 25 Sep</t>
        </is>
      </c>
      <c r="E23" s="44" t="n"/>
    </row>
    <row r="24" ht="16" customHeight="1">
      <c r="A24" s="43" t="n">
        <v>13</v>
      </c>
      <c r="B24" s="44" t="inlineStr">
        <is>
          <t>Career pathing matrix under Aspiring Career</t>
        </is>
      </c>
      <c r="C24" s="46" t="inlineStr">
        <is>
          <t>Completed</t>
        </is>
      </c>
      <c r="D24" s="47" t="n"/>
      <c r="E24" s="44" t="n"/>
    </row>
    <row r="25" ht="16" customHeight="1">
      <c r="A25" s="43" t="n">
        <v>14</v>
      </c>
      <c r="B25" s="44" t="inlineStr">
        <is>
          <t>Career pathing template</t>
        </is>
      </c>
      <c r="C25" s="46" t="inlineStr">
        <is>
          <t>Completed</t>
        </is>
      </c>
      <c r="D25" s="47" t="n"/>
      <c r="E25" s="44" t="n"/>
    </row>
    <row r="26" ht="16" customHeight="1">
      <c r="A26" s="43" t="n">
        <v>15</v>
      </c>
      <c r="B26" s="44" t="inlineStr">
        <is>
          <t>Department management</t>
        </is>
      </c>
      <c r="C26" s="46" t="inlineStr">
        <is>
          <t>Completed</t>
        </is>
      </c>
      <c r="D26" s="47" t="n"/>
      <c r="E26" s="44" t="n"/>
    </row>
    <row r="27" ht="16" customHeight="1">
      <c r="A27" s="43" t="n">
        <v>16</v>
      </c>
      <c r="B27" s="44" t="inlineStr">
        <is>
          <t>Mid-year self-appraisal</t>
        </is>
      </c>
      <c r="C27" s="46" t="inlineStr">
        <is>
          <t>Completed</t>
        </is>
      </c>
      <c r="D27" s="47" t="n"/>
      <c r="E27" s="44" t="n"/>
    </row>
    <row r="28" ht="16" customHeight="1">
      <c r="A28" s="43" t="n">
        <v>18</v>
      </c>
      <c r="B28" s="44" t="inlineStr">
        <is>
          <t>Rename Self-Appraisal to Annual Review</t>
        </is>
      </c>
      <c r="C28" s="46" t="inlineStr">
        <is>
          <t>Completed</t>
        </is>
      </c>
      <c r="D28" s="47" t="n"/>
      <c r="E28" s="44" t="n"/>
    </row>
    <row r="29" ht="16" customHeight="1">
      <c r="A29" s="43" t="n">
        <v>19</v>
      </c>
      <c r="B29" s="44" t="inlineStr">
        <is>
          <t>Rename Annual Review to Final Rating</t>
        </is>
      </c>
      <c r="C29" s="46" t="inlineStr">
        <is>
          <t>Completed</t>
        </is>
      </c>
      <c r="D29" s="47" t="n"/>
      <c r="E29" s="44" t="n"/>
    </row>
    <row r="30" ht="16" customHeight="1">
      <c r="A30" s="43" t="n">
        <v>20</v>
      </c>
      <c r="B30" s="44" t="inlineStr">
        <is>
          <t>Manager rating visibility</t>
        </is>
      </c>
      <c r="C30" s="46" t="inlineStr">
        <is>
          <t>Completed</t>
        </is>
      </c>
      <c r="D30" s="47" t="n"/>
      <c r="E30" s="44" t="n"/>
    </row>
    <row r="31" ht="16" customHeight="1">
      <c r="A31" s="43" t="n">
        <v>21</v>
      </c>
      <c r="B31" s="44" t="inlineStr">
        <is>
          <t>Final rating publishing rights</t>
        </is>
      </c>
      <c r="C31" s="46" t="inlineStr">
        <is>
          <t>Completed</t>
        </is>
      </c>
      <c r="D31" s="47" t="n"/>
      <c r="E31" s="44" t="n"/>
    </row>
    <row r="32" ht="16" customHeight="1">
      <c r="A32" s="43" t="n">
        <v>23</v>
      </c>
      <c r="B32" s="44" t="inlineStr">
        <is>
          <t>Global search and approval buttons</t>
        </is>
      </c>
      <c r="C32" s="46" t="inlineStr">
        <is>
          <t>Completed</t>
        </is>
      </c>
      <c r="D32" s="47" t="n"/>
      <c r="E32" s="44" t="n"/>
    </row>
    <row r="33" ht="16" customHeight="1">
      <c r="A33" s="43" t="n">
        <v>24</v>
      </c>
      <c r="B33" s="44" t="inlineStr">
        <is>
          <t>KRA approval workflow</t>
        </is>
      </c>
      <c r="C33" s="46" t="inlineStr">
        <is>
          <t>Completed</t>
        </is>
      </c>
      <c r="D33" s="47" t="n"/>
      <c r="E33" s="44" t="n"/>
    </row>
    <row r="34" ht="16" customHeight="1">
      <c r="A34" s="43" t="n">
        <v>25</v>
      </c>
      <c r="B34" s="44" t="inlineStr">
        <is>
          <t>Role-based views</t>
        </is>
      </c>
      <c r="C34" s="46" t="inlineStr">
        <is>
          <t>Completed</t>
        </is>
      </c>
      <c r="D34" s="47" t="n"/>
      <c r="E34" s="44" t="n"/>
    </row>
    <row r="35" ht="16" customHeight="1">
      <c r="A35" s="43" t="n">
        <v>26</v>
      </c>
      <c r="B35" s="44" t="inlineStr">
        <is>
          <t>Manager dashboard tracking</t>
        </is>
      </c>
      <c r="C35" s="46" t="inlineStr">
        <is>
          <t>Completed</t>
        </is>
      </c>
      <c r="D35" s="47" t="n"/>
      <c r="E35" s="44" t="n"/>
    </row>
    <row r="36" ht="16" customHeight="1">
      <c r="A36" s="43" t="n">
        <v>27</v>
      </c>
      <c r="B36" s="44" t="inlineStr">
        <is>
          <t>Analytics dashboard on login</t>
        </is>
      </c>
      <c r="C36" s="46" t="inlineStr">
        <is>
          <t>Completed</t>
        </is>
      </c>
      <c r="D36" s="47" t="n"/>
      <c r="E36" s="44" t="n"/>
    </row>
    <row r="37" ht="16" customHeight="1">
      <c r="A37" s="43" t="n">
        <v>28</v>
      </c>
      <c r="B37" s="44" t="inlineStr">
        <is>
          <t>UI does not match the shared screens</t>
        </is>
      </c>
      <c r="C37" s="46" t="inlineStr">
        <is>
          <t>Completed</t>
        </is>
      </c>
      <c r="D37" s="47" t="n"/>
      <c r="E37" s="44" t="n"/>
    </row>
    <row r="38" ht="16" customHeight="1">
      <c r="A38" s="43" t="n">
        <v>29</v>
      </c>
      <c r="B38" s="44" t="inlineStr">
        <is>
          <t>Current designation in the growth section</t>
        </is>
      </c>
      <c r="C38" s="46" t="inlineStr">
        <is>
          <t>Completed</t>
        </is>
      </c>
      <c r="D38" s="47" t="n"/>
      <c r="E38" s="44" t="n"/>
    </row>
    <row r="39" ht="16" customHeight="1">
      <c r="A39" s="43" t="n">
        <v>30</v>
      </c>
      <c r="B39" s="44" t="inlineStr">
        <is>
          <t>Potential rating + mid-year checkpoint</t>
        </is>
      </c>
      <c r="C39" s="46" t="inlineStr">
        <is>
          <t>Completed</t>
        </is>
      </c>
      <c r="D39" s="47" t="n"/>
      <c r="E39" s="44" t="n"/>
    </row>
    <row r="41" ht="28" customHeight="1">
      <c r="A41" s="38" t="inlineStr">
        <is>
          <t>Point 20 counts as completed but needs a word from you: the answer changed on 23 Sep when the manager's mid-year rating came off the employee's own page, so it is now hidden even after publish. See the Tracker tab.</t>
        </is>
      </c>
    </row>
  </sheetData>
  <mergeCells count="3">
    <mergeCell ref="A2:E2"/>
    <mergeCell ref="A1:E1"/>
    <mergeCell ref="A41:E4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ySplit="4" topLeftCell="A5" activePane="bottomLeft" state="frozen"/>
      <selection pane="bottomLeft" activeCell="A1" sqref="A1"/>
    </sheetView>
  </sheetViews>
  <sheetFormatPr baseColWidth="8" defaultRowHeight="15"/>
  <cols>
    <col width="12" customWidth="1" min="1" max="1"/>
    <col width="56" customWidth="1" min="2" max="2"/>
    <col width="24" customWidth="1" min="3" max="3"/>
    <col width="70" customWidth="1" min="4" max="4"/>
  </cols>
  <sheetData>
    <row r="1">
      <c r="A1" s="39" t="inlineStr">
        <is>
          <t>Everything asked for after the 31-point list</t>
        </is>
      </c>
    </row>
    <row r="2">
      <c r="A2" s="40" t="inlineStr">
        <is>
          <t>Every point raised on 23 and 24 Sep 2026. All of it is built, tested and live on production (commit f0b36bd). Nothing on this tab is waiting on us.</t>
        </is>
      </c>
    </row>
    <row r="4">
      <c r="A4" s="41" t="inlineStr">
        <is>
          <t>Round</t>
        </is>
      </c>
      <c r="B4" s="41" t="inlineStr">
        <is>
          <t>What you asked for</t>
        </is>
      </c>
      <c r="C4" s="41" t="inlineStr">
        <is>
          <t>Status</t>
        </is>
      </c>
      <c r="D4" s="41" t="inlineStr">
        <is>
          <t>Where it is</t>
        </is>
      </c>
    </row>
    <row r="5">
      <c r="A5" s="42" t="inlineStr">
        <is>
          <t>23 Sep</t>
        </is>
      </c>
      <c r="B5" s="42" t="inlineStr">
        <is>
          <t>Engagement tab should be under HR, not My Performance</t>
        </is>
      </c>
      <c r="C5" s="42" t="inlineStr">
        <is>
          <t>Done</t>
        </is>
      </c>
      <c r="D5" s="42" t="inlineStr">
        <is>
          <t>Split: My Surveys stays on Self; Engagement Surveys is on HR.</t>
        </is>
      </c>
    </row>
    <row r="6">
      <c r="A6" s="42" t="inlineStr">
        <is>
          <t>23 Sep</t>
        </is>
      </c>
      <c r="B6" s="42" t="inlineStr">
        <is>
          <t>A better format for creating surveys</t>
        </is>
      </c>
      <c r="C6" s="42" t="inlineStr">
        <is>
          <t>Done</t>
        </is>
      </c>
      <c r="D6" s="42" t="inlineStr">
        <is>
          <t>Survey builder rebuilt.</t>
        </is>
      </c>
    </row>
    <row r="7">
      <c r="A7" s="42" t="inlineStr">
        <is>
          <t>23 Sep</t>
        </is>
      </c>
      <c r="B7" s="42" t="inlineStr">
        <is>
          <t>My Growth still shows team target achievements — move to Manager</t>
        </is>
      </c>
      <c r="C7" s="42" t="inlineStr">
        <is>
          <t>Done</t>
        </is>
      </c>
      <c r="D7" s="42" t="inlineStr">
        <is>
          <t>Team Target Achievements is its own Manager page.</t>
        </is>
      </c>
    </row>
    <row r="8">
      <c r="A8" s="42" t="inlineStr">
        <is>
          <t>23 Sep</t>
        </is>
      </c>
      <c r="B8" s="42" t="inlineStr">
        <is>
          <t>Mid-year under My Performance shows manager reviews — hide</t>
        </is>
      </c>
      <c r="C8" s="42" t="inlineStr">
        <is>
          <t>Done</t>
        </is>
      </c>
      <c r="D8" s="42" t="inlineStr">
        <is>
          <t>Split into Team Mid-Year on the Manager tab.</t>
        </is>
      </c>
    </row>
    <row r="9">
      <c r="A9" s="42" t="inlineStr">
        <is>
          <t>23 Sep</t>
        </is>
      </c>
      <c r="B9" s="42" t="inlineStr">
        <is>
          <t>Remove the 7 parameters from all tabs</t>
        </is>
      </c>
      <c r="C9" s="42" t="inlineStr">
        <is>
          <t>Done</t>
        </is>
      </c>
      <c r="D9" s="42" t="inlineStr">
        <is>
          <t>Grid and page removed; the annual rating now comes from the per-KRA weights.</t>
        </is>
      </c>
    </row>
    <row r="10">
      <c r="A10" s="42" t="inlineStr">
        <is>
          <t>23 Sep</t>
        </is>
      </c>
      <c r="B10" s="42" t="inlineStr">
        <is>
          <t>Return KRA option missing; KRA view not available</t>
        </is>
      </c>
      <c r="C10" s="42" t="inlineStr">
        <is>
          <t>Done</t>
        </is>
      </c>
      <c r="D10" s="42" t="inlineStr">
        <is>
          <t>All Approvals expands each record and offers Approve / Return.</t>
        </is>
      </c>
    </row>
    <row r="11">
      <c r="A11" s="42" t="inlineStr">
        <is>
          <t>23 Sep</t>
        </is>
      </c>
      <c r="B11" s="42" t="inlineStr">
        <is>
          <t>Replace pink with blue everywhere</t>
        </is>
      </c>
      <c r="C11" s="42" t="inlineStr">
        <is>
          <t>Done</t>
        </is>
      </c>
      <c r="D11" s="42" t="inlineStr">
        <is>
          <t>Palette changed; a browser test reads the computed colours.</t>
        </is>
      </c>
    </row>
    <row r="12">
      <c r="A12" s="42" t="inlineStr">
        <is>
          <t>24 Sep</t>
        </is>
      </c>
      <c r="B12" s="42" t="inlineStr">
        <is>
          <t>Export on Employees and the PMS Completion Report</t>
        </is>
      </c>
      <c r="C12" s="42" t="inlineStr">
        <is>
          <t>Done</t>
        </is>
      </c>
      <c r="D12" s="42" t="inlineStr">
        <is>
          <t>.xlsx and .csv on both; employee codes keep their leading zeros.</t>
        </is>
      </c>
    </row>
    <row r="13">
      <c r="A13" s="42" t="inlineStr">
        <is>
          <t>24 Sep</t>
        </is>
      </c>
      <c r="B13" s="42" t="inlineStr">
        <is>
          <t>Make the KRA Overview counts clickable</t>
        </is>
      </c>
      <c r="C13" s="42" t="inlineStr">
        <is>
          <t>Done</t>
        </is>
      </c>
      <c r="D13" s="42" t="inlineStr">
        <is>
          <t>Each count filters the table.</t>
        </is>
      </c>
    </row>
    <row r="14">
      <c r="A14" s="42" t="inlineStr">
        <is>
          <t>24 Sep</t>
        </is>
      </c>
      <c r="B14" s="42" t="inlineStr">
        <is>
          <t>Search on Team Overview</t>
        </is>
      </c>
      <c r="C14" s="42" t="inlineStr">
        <is>
          <t>Done</t>
        </is>
      </c>
      <c r="D14" s="42" t="inlineStr">
        <is>
          <t>Shared search control.</t>
        </is>
      </c>
    </row>
    <row r="15">
      <c r="A15" s="42" t="inlineStr">
        <is>
          <t>24 Sep</t>
        </is>
      </c>
      <c r="B15" s="42" t="inlineStr">
        <is>
          <t>Team KRA Sheets / Evaluation / Mid-Year: only my reportees</t>
        </is>
      </c>
      <c r="C15" s="42" t="inlineStr">
        <is>
          <t>Done</t>
        </is>
      </c>
      <c r="D15" s="42" t="inlineStr">
        <is>
          <t>Manager tab scoped to direct reports.</t>
        </is>
      </c>
    </row>
    <row r="16">
      <c r="A16" s="42" t="inlineStr">
        <is>
          <t>24 Sep</t>
        </is>
      </c>
      <c r="B16" s="42" t="inlineStr">
        <is>
          <t>KRA Library: clear previous data, add and delete a single KRA</t>
        </is>
      </c>
      <c r="C16" s="42" t="inlineStr">
        <is>
          <t>Done</t>
        </is>
      </c>
      <c r="D16" s="42" t="inlineStr">
        <is>
          <t>Add sits beside Clear; clearing needs a typed confirmation and a matching count.</t>
        </is>
      </c>
    </row>
    <row r="17">
      <c r="A17" s="42" t="inlineStr">
        <is>
          <t>24 Sep</t>
        </is>
      </c>
      <c r="B17" s="42" t="inlineStr">
        <is>
          <t>Remove the "All employees" option from the Manager tab</t>
        </is>
      </c>
      <c r="C17" s="42" t="inlineStr">
        <is>
          <t>Done</t>
        </is>
      </c>
      <c r="D17" s="42" t="inlineStr">
        <is>
          <t>Scope toggle deleted from all five pages.</t>
        </is>
      </c>
    </row>
    <row r="18">
      <c r="A18" s="42" t="inlineStr">
        <is>
          <t>24 Sep</t>
        </is>
      </c>
      <c r="B18" s="42" t="inlineStr">
        <is>
          <t>A Manager dashboard like the Self one</t>
        </is>
      </c>
      <c r="C18" s="42" t="inlineStr">
        <is>
          <t>Done</t>
        </is>
      </c>
      <c r="D18" s="42" t="inlineStr">
        <is>
          <t>Stat strip, action band, desk, named waiting-on-you list, roster.</t>
        </is>
      </c>
    </row>
    <row r="19">
      <c r="A19" s="42" t="inlineStr">
        <is>
          <t>24 Sep</t>
        </is>
      </c>
      <c r="B19" s="42" t="inlineStr">
        <is>
          <t>Fill the Career Pathing Matrix per department and designation</t>
        </is>
      </c>
      <c r="C19" s="42" t="inlineStr">
        <is>
          <t>Done — needs your upload</t>
        </is>
      </c>
      <c r="D19" s="42" t="inlineStr">
        <is>
          <t>159 transitions generated from the live master; "Download suggested matrix" on the page. 29 rows marked PLEASE CHECK. Not yet published.</t>
        </is>
      </c>
    </row>
    <row r="20">
      <c r="A20" s="42" t="inlineStr">
        <is>
          <t>24 Sep</t>
        </is>
      </c>
      <c r="B20" s="42" t="inlineStr">
        <is>
          <t>Competency mapping system — self and manager evaluation</t>
        </is>
      </c>
      <c r="C20" s="42" t="inlineStr">
        <is>
          <t>Done — not yet used</t>
        </is>
      </c>
      <c r="D20" s="42" t="inlineStr">
        <is>
          <t>Four screens from your workbook; 40 competencies seeded. 1 assessment started, 0 manager-submitted.</t>
        </is>
      </c>
    </row>
    <row r="21">
      <c r="A21" s="42" t="inlineStr">
        <is>
          <t>24 Sep</t>
        </is>
      </c>
      <c r="B21" s="42" t="inlineStr">
        <is>
          <t>How the 9-box will display after competency mapping</t>
        </is>
      </c>
      <c r="C21" s="42" t="inlineStr">
        <is>
          <t>Done — no data yet</t>
        </is>
      </c>
      <c r="D21" s="42" t="inlineStr">
        <is>
          <t>Second view on the 9-box. Empty until annual ratings and manager competency ratings exist.</t>
        </is>
      </c>
    </row>
    <row r="22">
      <c r="A22" s="42" t="inlineStr">
        <is>
          <t>24 Sep</t>
        </is>
      </c>
      <c r="B22" s="42" t="inlineStr">
        <is>
          <t>Super 50 — last 3 annual reviews, A or A+, this year A+</t>
        </is>
      </c>
      <c r="C22" s="42" t="inlineStr">
        <is>
          <t>Done — needs history</t>
        </is>
      </c>
      <c r="D22" s="42" t="inlineStr">
        <is>
          <t>Rule reads grades off the scale and is configurable. 0 published cycles and 0 prior years imported, so it cannot fire yet.</t>
        </is>
      </c>
    </row>
    <row r="23">
      <c r="A23" s="42" t="inlineStr">
        <is>
          <t>24 Sep</t>
        </is>
      </c>
      <c r="B23" s="42" t="inlineStr">
        <is>
          <t>Manager can edit a KRA after the employee submits</t>
        </is>
      </c>
      <c r="C23" s="42" t="inlineStr">
        <is>
          <t>Done</t>
        </is>
      </c>
      <c r="D23" s="42" t="inlineStr">
        <is>
          <t>Edit on Team KRA Sheets; every change audited and the employee notified. Closes point 24 of the 31.</t>
        </is>
      </c>
    </row>
    <row r="24">
      <c r="A24" s="42" t="inlineStr">
        <is>
          <t>24 Sep</t>
        </is>
      </c>
      <c r="B24" s="42" t="inlineStr">
        <is>
          <t>Reporting manager change should move open KRAs</t>
        </is>
      </c>
      <c r="C24" s="42" t="inlineStr">
        <is>
          <t>Done</t>
        </is>
      </c>
      <c r="D24" s="42" t="inlineStr">
        <is>
          <t>All five open record types move; submitted work stays with whoever wrote it.</t>
        </is>
      </c>
    </row>
    <row r="25">
      <c r="A25" s="42" t="inlineStr">
        <is>
          <t>24 Sep</t>
        </is>
      </c>
      <c r="B25" s="42" t="inlineStr">
        <is>
          <t>Separate HOD tab, removed from Manager</t>
        </is>
      </c>
      <c r="C25" s="42" t="inlineStr">
        <is>
          <t>Done</t>
        </is>
      </c>
      <c r="D25" s="42" t="inlineStr">
        <is>
          <t>Delivery Head is its own tab.</t>
        </is>
      </c>
    </row>
    <row r="26">
      <c r="A26" s="42" t="inlineStr">
        <is>
          <t>24 Sep</t>
        </is>
      </c>
      <c r="B26" s="42" t="inlineStr">
        <is>
          <t>Department dropdown on Team KRAs</t>
        </is>
      </c>
      <c r="C26" s="42" t="inlineStr">
        <is>
          <t>Done</t>
        </is>
      </c>
      <c r="D26" s="42" t="inlineStr">
        <is>
          <t>Pick a department you staff or head; admins any.</t>
        </is>
      </c>
    </row>
    <row r="27">
      <c r="A27" s="42" t="inlineStr">
        <is>
          <t>24 Sep</t>
        </is>
      </c>
      <c r="B27" s="42" t="inlineStr">
        <is>
          <t>Suggestion of next appraisal</t>
        </is>
      </c>
      <c r="C27" s="42" t="inlineStr">
        <is>
          <t>Done</t>
        </is>
      </c>
      <c r="D27" s="42" t="inlineStr">
        <is>
          <t>Each employee is told their own next appraisal on the cycle card.</t>
        </is>
      </c>
    </row>
    <row r="28">
      <c r="A28" s="42" t="inlineStr">
        <is>
          <t>24 Sep</t>
        </is>
      </c>
      <c r="B28" s="42" t="inlineStr">
        <is>
          <t>Reminder to managers for pending approvals</t>
        </is>
      </c>
      <c r="C28" s="42" t="inlineStr">
        <is>
          <t>Done — needs SMTP for email</t>
        </is>
      </c>
      <c r="D28" s="42" t="inlineStr">
        <is>
          <t>In-app now. Email needs the SMTP credentials (point 17).</t>
        </is>
      </c>
    </row>
    <row r="29">
      <c r="A29" s="42" t="inlineStr">
        <is>
          <t>24 Sep</t>
        </is>
      </c>
      <c r="B29" s="42" t="inlineStr">
        <is>
          <t>Appraisal eligibility by joining date</t>
        </is>
      </c>
      <c r="C29" s="42" t="inlineStr">
        <is>
          <t>Done</t>
        </is>
      </c>
      <c r="D29" s="42" t="inlineStr">
        <is>
          <t>Both sentences on the cycle card with the real dates; configurable.</t>
        </is>
      </c>
    </row>
    <row r="30">
      <c r="A30" s="42" t="inlineStr">
        <is>
          <t>24 Sep</t>
        </is>
      </c>
      <c r="B30" s="42" t="inlineStr">
        <is>
          <t>Ratings in alphabets, not numbers</t>
        </is>
      </c>
      <c r="C30" s="42" t="inlineStr">
        <is>
          <t>Done</t>
        </is>
      </c>
      <c r="D30" s="42" t="inlineStr">
        <is>
          <t>One formatter across every page, the exports and the closure-letter PDF.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6" customWidth="1" min="3" max="3"/>
    <col width="18" customWidth="1" min="4" max="4"/>
    <col width="74" customWidth="1" min="5" max="5"/>
    <col width="22" customWidth="1" min="6" max="6"/>
    <col width="62" customWidth="1" min="7" max="7"/>
    <col width="9" customWidth="1" min="8" max="8"/>
    <col width="16" customWidth="1" min="9" max="9"/>
    <col width="13" customWidth="1" min="10" max="10"/>
    <col width="8" customWidth="1" min="11" max="11"/>
    <col width="30" customWidth="1" min="12" max="12"/>
  </cols>
  <sheetData>
    <row r="1">
      <c r="A1" s="1" t="inlineStr">
        <is>
          <t>Agentic PMS — 31-point tracker</t>
        </is>
      </c>
    </row>
    <row r="2">
      <c r="A2" s="2" t="inlineStr">
        <is>
          <t>Status re-checked against the code deployed to production (commit f0b36bd, 52 migrations) and against the production database, on 25 Sep 2026. Points 1, 2, 4, 7 and 12 closed by Mindgate on 25 Sep.</t>
        </is>
      </c>
    </row>
    <row r="4" ht="30" customHeight="1">
      <c r="A4" s="3" t="inlineStr">
        <is>
          <t>#</t>
        </is>
      </c>
      <c r="B4" s="3" t="inlineStr">
        <is>
          <t>Point</t>
        </is>
      </c>
      <c r="C4" s="3" t="inlineStr">
        <is>
          <t>What was asked</t>
        </is>
      </c>
      <c r="D4" s="3" t="inlineStr">
        <is>
          <t>Status</t>
        </is>
      </c>
      <c r="E4" s="3" t="inlineStr">
        <is>
          <t>Where it stands (checked 24 Sep 2026)</t>
        </is>
      </c>
      <c r="F4" s="3" t="inlineStr">
        <is>
          <t>Owner</t>
        </is>
      </c>
      <c r="G4" s="3" t="inlineStr">
        <is>
          <t>Next action</t>
        </is>
      </c>
      <c r="H4" s="3" t="inlineStr">
        <is>
          <t>Suggested order</t>
        </is>
      </c>
      <c r="I4" s="3" t="inlineStr">
        <is>
          <t>Assigned to</t>
        </is>
      </c>
      <c r="J4" s="3" t="inlineStr">
        <is>
          <t>Target date</t>
        </is>
      </c>
      <c r="K4" s="3" t="inlineStr">
        <is>
          <t>Done?</t>
        </is>
      </c>
      <c r="L4" s="3" t="inlineStr">
        <is>
          <t>Notes</t>
        </is>
      </c>
    </row>
    <row r="5" ht="58" customHeight="1">
      <c r="A5" s="4" t="n">
        <v>1</v>
      </c>
      <c r="B5" s="5" t="inlineStr">
        <is>
          <t>Approved goals: remove the edit lock</t>
        </is>
      </c>
      <c r="C5" s="5" t="inlineStr">
        <is>
          <t>Editing is restricted unexpectedly when the cycle moves to the next phase.</t>
        </is>
      </c>
      <c r="D5" s="6" t="inlineStr">
        <is>
          <t>Done</t>
        </is>
      </c>
      <c r="E5" s="5" t="inlineStr">
        <is>
          <t>Closed by Mindgate 25 Sep 2026. The phase lock was already removed — growthEditable() allows edits up to Calibration and a returned plan is editable in any phase. An approved plan still has to be returned by the manager before it can be edited; Mindgate confirmed that is the wanted behaviour.</t>
        </is>
      </c>
      <c r="F5" s="7" t="inlineStr">
        <is>
          <t>—</t>
        </is>
      </c>
      <c r="G5" s="5" t="inlineStr">
        <is>
          <t>None.</t>
        </is>
      </c>
      <c r="H5" s="4" t="n">
        <v>3</v>
      </c>
      <c r="I5" s="7" t="inlineStr"/>
      <c r="J5" s="7" t="inlineStr"/>
      <c r="K5" s="4" t="inlineStr"/>
      <c r="L5" s="5" t="inlineStr"/>
    </row>
    <row r="6" ht="58" customHeight="1">
      <c r="A6" s="8" t="n">
        <v>2</v>
      </c>
      <c r="B6" s="9" t="inlineStr">
        <is>
          <t>Department dropdown for KRA setup</t>
        </is>
      </c>
      <c r="C6" s="9" t="inlineStr">
        <is>
          <t>Add a department selection dropdown to resolve designation bottlenecks.</t>
        </is>
      </c>
      <c r="D6" s="6" t="inlineStr">
        <is>
          <t>Done</t>
        </is>
      </c>
      <c r="E6" s="9" t="inlineStr">
        <is>
          <t>Closed by Mindgate 25 Sep 2026 — resolved through the department mapping. The KRA library is keyed on department + designation and the page filters by department. Note for the record: as of 25 Sep the 2,155 rows on production still carry no department value, so live matching falls back to designation until a sheet with departments is uploaded.</t>
        </is>
      </c>
      <c r="F6" s="10" t="inlineStr">
        <is>
          <t>—</t>
        </is>
      </c>
      <c r="G6" s="9" t="inlineStr">
        <is>
          <t>None. Upload a library sheet carrying departments whenever you want matching to narrow by department.</t>
        </is>
      </c>
      <c r="H6" s="8" t="n">
        <v>4</v>
      </c>
      <c r="I6" s="10" t="inlineStr"/>
      <c r="J6" s="10" t="inlineStr"/>
      <c r="K6" s="8" t="inlineStr"/>
      <c r="L6" s="9" t="inlineStr"/>
    </row>
    <row r="7" ht="58" customHeight="1">
      <c r="A7" s="4" t="n">
        <v>3</v>
      </c>
      <c r="B7" s="5" t="inlineStr">
        <is>
          <t>Associate the growth path after the KRA</t>
        </is>
      </c>
      <c r="C7" s="5" t="inlineStr">
        <is>
          <t>Review changes: growth path should follow the KRA.</t>
        </is>
      </c>
      <c r="D7" s="11" t="inlineStr">
        <is>
          <t>Done</t>
        </is>
      </c>
      <c r="E7" s="5" t="inlineStr">
        <is>
          <t>kra-goal-sync reopens the growth plan when the KRA set changes and relinks goals to KRAs by title. Shipped and live.</t>
        </is>
      </c>
      <c r="F7" s="7" t="inlineStr">
        <is>
          <t>—</t>
        </is>
      </c>
      <c r="G7" s="5" t="inlineStr">
        <is>
          <t>None.</t>
        </is>
      </c>
      <c r="H7" s="4" t="n"/>
      <c r="I7" s="7" t="inlineStr"/>
      <c r="J7" s="7" t="inlineStr"/>
      <c r="K7" s="4" t="inlineStr"/>
      <c r="L7" s="5" t="inlineStr"/>
    </row>
    <row r="8" ht="58" customHeight="1">
      <c r="A8" s="8" t="n">
        <v>4</v>
      </c>
      <c r="B8" s="9" t="inlineStr">
        <is>
          <t>KRA unique ID</t>
        </is>
      </c>
      <c r="C8" s="9" t="inlineStr">
        <is>
          <t>Assign a unique ID to all KRAs based on department and designation.</t>
        </is>
      </c>
      <c r="D8" s="12" t="inlineStr">
        <is>
          <t>Done</t>
        </is>
      </c>
      <c r="E8" s="9" t="inlineStr">
        <is>
          <t>Closed by Mindgate 25 Sep 2026 — the department + designation mapping identifies a KRA, so no separate unique-ID scheme is required. No ID field was built.</t>
        </is>
      </c>
      <c r="F8" s="10" t="inlineStr">
        <is>
          <t>—</t>
        </is>
      </c>
      <c r="G8" s="9" t="inlineStr">
        <is>
          <t>None.</t>
        </is>
      </c>
      <c r="H8" s="8" t="n">
        <v>6</v>
      </c>
      <c r="I8" s="10" t="inlineStr"/>
      <c r="J8" s="10" t="inlineStr"/>
      <c r="K8" s="8" t="inlineStr"/>
      <c r="L8" s="9" t="inlineStr"/>
    </row>
    <row r="9" ht="58" customHeight="1">
      <c r="A9" s="4" t="n">
        <v>5</v>
      </c>
      <c r="B9" s="5" t="inlineStr">
        <is>
          <t>Google Meet integration</t>
        </is>
      </c>
      <c r="C9" s="5" t="inlineStr">
        <is>
          <t>Configure Google Meet within the system.</t>
        </is>
      </c>
      <c r="D9" s="6" t="inlineStr">
        <is>
          <t>Blocked on credentials</t>
        </is>
      </c>
      <c r="E9" s="5" t="inlineStr">
        <is>
          <t>Code and UI are in place; the connect page says 'Google Meet is not connected on this instance yet'. No Google OAuth credentials in /etc/agentic-pms/api.env.</t>
        </is>
      </c>
      <c r="F9" s="7" t="inlineStr">
        <is>
          <t>Mindgate — credentials</t>
        </is>
      </c>
      <c r="G9" s="5" t="inlineStr">
        <is>
          <t>Provide Google OAuth client ID and secret for the workspace.</t>
        </is>
      </c>
      <c r="H9" s="4" t="n"/>
      <c r="I9" s="7" t="inlineStr"/>
      <c r="J9" s="7" t="inlineStr"/>
      <c r="K9" s="4" t="inlineStr"/>
      <c r="L9" s="5" t="inlineStr"/>
    </row>
    <row r="10" ht="58" customHeight="1">
      <c r="A10" s="8" t="n">
        <v>6</v>
      </c>
      <c r="B10" s="9" t="inlineStr">
        <is>
          <t>KRAs always open + new-hire auto-assign</t>
        </is>
      </c>
      <c r="C10" s="9" t="inlineStr">
        <is>
          <t>Keep KRAs open for everyone, not tied to a cycle. New hires get KRAs on joining; manager approval still required.</t>
        </is>
      </c>
      <c r="D10" s="11" t="inlineStr">
        <is>
          <t>Done</t>
        </is>
      </c>
      <c r="E10" s="9" t="inlineStr">
        <is>
          <t>KRA edit is allowed in every phase except draft/closed. New hires are assigned their department+designation shelf at import; sheets land in draft for the employee, approval unchanged. Live.</t>
        </is>
      </c>
      <c r="F10" s="10" t="inlineStr">
        <is>
          <t>—</t>
        </is>
      </c>
      <c r="G10" s="9" t="inlineStr">
        <is>
          <t>None.</t>
        </is>
      </c>
      <c r="H10" s="8" t="n"/>
      <c r="I10" s="10" t="inlineStr"/>
      <c r="J10" s="10" t="inlineStr"/>
      <c r="K10" s="8" t="inlineStr"/>
      <c r="L10" s="9" t="inlineStr"/>
    </row>
    <row r="11" ht="58" customHeight="1">
      <c r="A11" s="4" t="n">
        <v>7</v>
      </c>
      <c r="B11" s="5" t="inlineStr">
        <is>
          <t>RM approval issue</t>
        </is>
      </c>
      <c r="C11" s="5" t="inlineStr">
        <is>
          <t>Reporting Managers cannot approve KRAs.</t>
        </is>
      </c>
      <c r="D11" s="6" t="inlineStr">
        <is>
          <t>Done</t>
        </is>
      </c>
      <c r="E11" s="5" t="inlineStr">
        <is>
          <t>Closed by Mindgate 25 Sep 2026 — confirmed working. All Approvals lists sheets waiting on the named manager and the decide endpoint is covered by tests; the reporting manager can approve.</t>
        </is>
      </c>
      <c r="F11" s="7" t="inlineStr">
        <is>
          <t>—</t>
        </is>
      </c>
      <c r="G11" s="5" t="inlineStr">
        <is>
          <t>None.</t>
        </is>
      </c>
      <c r="H11" s="4" t="n"/>
      <c r="I11" s="7" t="inlineStr"/>
      <c r="J11" s="7" t="inlineStr"/>
      <c r="K11" s="4" t="inlineStr"/>
      <c r="L11" s="5" t="inlineStr"/>
    </row>
    <row r="12" ht="58" customHeight="1">
      <c r="A12" s="8" t="n">
        <v>8</v>
      </c>
      <c r="B12" s="9" t="inlineStr">
        <is>
          <t>ANTHROPIC_API_KEY missing in My Growth</t>
        </is>
      </c>
      <c r="C12" s="9" t="inlineStr">
        <is>
          <t>Agentic features not configured on this instance.</t>
        </is>
      </c>
      <c r="D12" s="11" t="inlineStr">
        <is>
          <t>Done</t>
        </is>
      </c>
      <c r="E12" s="9" t="inlineStr">
        <is>
          <t>Key is present on the box, and POST /agentic/devplan-suggest returned 200 with a real draft on production on 23 Sep.</t>
        </is>
      </c>
      <c r="F12" s="10" t="inlineStr">
        <is>
          <t>—</t>
        </is>
      </c>
      <c r="G12" s="9" t="inlineStr">
        <is>
          <t>Separate issue: this key has never been rotated. Rotate it.</t>
        </is>
      </c>
      <c r="H12" s="8" t="n">
        <v>1</v>
      </c>
      <c r="I12" s="10" t="inlineStr"/>
      <c r="J12" s="10" t="inlineStr"/>
      <c r="K12" s="8" t="inlineStr"/>
      <c r="L12" s="9" t="inlineStr"/>
    </row>
    <row r="13" ht="58" customHeight="1">
      <c r="A13" s="4" t="n">
        <v>9</v>
      </c>
      <c r="B13" s="5" t="inlineStr">
        <is>
          <t>KRA Library editing</t>
        </is>
      </c>
      <c r="C13" s="5" t="inlineStr">
        <is>
          <t>HR should edit the library directly during reviews with the DH or RM.</t>
        </is>
      </c>
      <c r="D13" s="11" t="inlineStr">
        <is>
          <t>Done</t>
        </is>
      </c>
      <c r="E13" s="5" t="inlineStr">
        <is>
          <t>Per-entry edit endpoint and UI on the KRA Library page. Live.</t>
        </is>
      </c>
      <c r="F13" s="7" t="inlineStr">
        <is>
          <t>—</t>
        </is>
      </c>
      <c r="G13" s="5" t="inlineStr">
        <is>
          <t>None.</t>
        </is>
      </c>
      <c r="H13" s="4" t="n"/>
      <c r="I13" s="7" t="inlineStr"/>
      <c r="J13" s="7" t="inlineStr"/>
      <c r="K13" s="4" t="inlineStr"/>
      <c r="L13" s="5" t="inlineStr"/>
    </row>
    <row r="14" ht="58" customHeight="1">
      <c r="A14" s="8" t="n">
        <v>10</v>
      </c>
      <c r="B14" s="9" t="inlineStr">
        <is>
          <t>Role / department change</t>
        </is>
      </c>
      <c r="C14" s="9" t="inlineStr">
        <is>
          <t>Enable KRA editing for HR and re-route approval to the new RM.</t>
        </is>
      </c>
      <c r="D14" s="11" t="inlineStr">
        <is>
          <t>Done</t>
        </is>
      </c>
      <c r="E14" s="9" t="inlineStr">
        <is>
          <t>profile-change reopens the sheet and plan with reopened_reason='profile_change'; the approver is read live from the employee record, so approval follows the new manager automatically.</t>
        </is>
      </c>
      <c r="F14" s="10" t="inlineStr">
        <is>
          <t>—</t>
        </is>
      </c>
      <c r="G14" s="9" t="inlineStr">
        <is>
          <t>None.</t>
        </is>
      </c>
      <c r="H14" s="8" t="n"/>
      <c r="I14" s="10" t="inlineStr"/>
      <c r="J14" s="10" t="inlineStr"/>
      <c r="K14" s="8" t="inlineStr"/>
      <c r="L14" s="9" t="inlineStr"/>
    </row>
    <row r="15" ht="58" customHeight="1">
      <c r="A15" s="4" t="n">
        <v>11</v>
      </c>
      <c r="B15" s="5" t="inlineStr">
        <is>
          <t>'Select all KRAs' in My Growth</t>
        </is>
      </c>
      <c r="C15" s="5" t="inlineStr">
        <is>
          <t>Add a select-all option.</t>
        </is>
      </c>
      <c r="D15" s="11" t="inlineStr">
        <is>
          <t>Done</t>
        </is>
      </c>
      <c r="E15" s="5" t="inlineStr">
        <is>
          <t>'Select all N' in the KRA library picker and in the AI draft panel on My Growth.</t>
        </is>
      </c>
      <c r="F15" s="7" t="inlineStr">
        <is>
          <t>—</t>
        </is>
      </c>
      <c r="G15" s="5" t="inlineStr">
        <is>
          <t>None.</t>
        </is>
      </c>
      <c r="H15" s="4" t="n"/>
      <c r="I15" s="7" t="inlineStr"/>
      <c r="J15" s="7" t="inlineStr"/>
      <c r="K15" s="4" t="inlineStr"/>
      <c r="L15" s="5" t="inlineStr"/>
    </row>
    <row r="16" ht="58" customHeight="1">
      <c r="A16" s="8" t="n">
        <v>12</v>
      </c>
      <c r="B16" s="9" t="inlineStr">
        <is>
          <t>KRA synchronisation</t>
        </is>
      </c>
      <c r="C16" s="9" t="inlineStr">
        <is>
          <t>Mapping is inaccurate against designation and department.</t>
        </is>
      </c>
      <c r="D16" s="6" t="inlineStr">
        <is>
          <t>Done</t>
        </is>
      </c>
      <c r="E16" s="9" t="inlineStr">
        <is>
          <t>Closed by Mindgate 25 Sep 2026 — resolved with point 2. Matching is department + designation first, then a company-wide fallback, never both.</t>
        </is>
      </c>
      <c r="F16" s="10" t="inlineStr">
        <is>
          <t>—</t>
        </is>
      </c>
      <c r="G16" s="9" t="inlineStr">
        <is>
          <t>None.</t>
        </is>
      </c>
      <c r="H16" s="8" t="n">
        <v>4</v>
      </c>
      <c r="I16" s="10" t="inlineStr"/>
      <c r="J16" s="10" t="inlineStr"/>
      <c r="K16" s="8" t="inlineStr"/>
      <c r="L16" s="9" t="inlineStr"/>
    </row>
    <row r="17" ht="58" customHeight="1">
      <c r="A17" s="4" t="n">
        <v>13</v>
      </c>
      <c r="B17" s="5" t="inlineStr">
        <is>
          <t>Career pathing matrix under Aspiring Career</t>
        </is>
      </c>
      <c r="C17" s="5" t="inlineStr">
        <is>
          <t>Configure the matrix.</t>
        </is>
      </c>
      <c r="D17" s="11" t="inlineStr">
        <is>
          <t>Done</t>
        </is>
      </c>
      <c r="E17" s="5" t="inlineStr">
        <is>
          <t>Aspiring Career limits the target role to transitions HR configured in the Career Pathing Matrix, and says so when none is configured.</t>
        </is>
      </c>
      <c r="F17" s="7" t="inlineStr">
        <is>
          <t>—</t>
        </is>
      </c>
      <c r="G17" s="5" t="inlineStr">
        <is>
          <t>Matrix is currently empty on live — HR needs to define transitions.</t>
        </is>
      </c>
      <c r="H17" s="4" t="n">
        <v>5</v>
      </c>
      <c r="I17" s="7" t="inlineStr"/>
      <c r="J17" s="7" t="inlineStr"/>
      <c r="K17" s="4" t="inlineStr"/>
      <c r="L17" s="5" t="inlineStr"/>
    </row>
    <row r="18" ht="58" customHeight="1">
      <c r="A18" s="8" t="n">
        <v>14</v>
      </c>
      <c r="B18" s="9" t="inlineStr">
        <is>
          <t>Career pathing template</t>
        </is>
      </c>
      <c r="C18" s="9" t="inlineStr">
        <is>
          <t>Provide the template.</t>
        </is>
      </c>
      <c r="D18" s="11" t="inlineStr">
        <is>
          <t>Done</t>
        </is>
      </c>
      <c r="E18" s="9" t="inlineStr">
        <is>
          <t>Download template (.xlsx) and (.csv) buttons on the Career Pathing Matrix page.</t>
        </is>
      </c>
      <c r="F18" s="10" t="inlineStr">
        <is>
          <t>—</t>
        </is>
      </c>
      <c r="G18" s="9" t="inlineStr">
        <is>
          <t>None.</t>
        </is>
      </c>
      <c r="H18" s="8" t="n"/>
      <c r="I18" s="10" t="inlineStr"/>
      <c r="J18" s="10" t="inlineStr"/>
      <c r="K18" s="8" t="inlineStr"/>
      <c r="L18" s="9" t="inlineStr"/>
    </row>
    <row r="19" ht="58" customHeight="1">
      <c r="A19" s="4" t="n">
        <v>15</v>
      </c>
      <c r="B19" s="5" t="inlineStr">
        <is>
          <t>Department management</t>
        </is>
      </c>
      <c r="C19" s="5" t="inlineStr">
        <is>
          <t>Department Heads should add and remove departments.</t>
        </is>
      </c>
      <c r="D19" s="11" t="inlineStr">
        <is>
          <t>Done</t>
        </is>
      </c>
      <c r="E19" s="5" t="inlineStr">
        <is>
          <t>Add and delete on the Department Heads page.</t>
        </is>
      </c>
      <c r="F19" s="7" t="inlineStr">
        <is>
          <t>—</t>
        </is>
      </c>
      <c r="G19" s="5" t="inlineStr">
        <is>
          <t>None.</t>
        </is>
      </c>
      <c r="H19" s="4" t="n"/>
      <c r="I19" s="7" t="inlineStr"/>
      <c r="J19" s="7" t="inlineStr"/>
      <c r="K19" s="4" t="inlineStr"/>
      <c r="L19" s="5" t="inlineStr"/>
    </row>
    <row r="20" ht="58" customHeight="1">
      <c r="A20" s="8" t="n">
        <v>16</v>
      </c>
      <c r="B20" s="9" t="inlineStr">
        <is>
          <t>Mid-year self-appraisal</t>
        </is>
      </c>
      <c r="C20" s="9" t="inlineStr">
        <is>
          <t>Include self-appraisal in the mid-year review.</t>
        </is>
      </c>
      <c r="D20" s="11" t="inlineStr">
        <is>
          <t>Done</t>
        </is>
      </c>
      <c r="E20" s="9" t="inlineStr">
        <is>
          <t>Mid-year check-in carries a self half and a manager half, submitted separately.</t>
        </is>
      </c>
      <c r="F20" s="10" t="inlineStr">
        <is>
          <t>—</t>
        </is>
      </c>
      <c r="G20" s="9" t="inlineStr">
        <is>
          <t>None.</t>
        </is>
      </c>
      <c r="H20" s="8" t="n"/>
      <c r="I20" s="10" t="inlineStr"/>
      <c r="J20" s="10" t="inlineStr"/>
      <c r="K20" s="8" t="inlineStr"/>
      <c r="L20" s="9" t="inlineStr"/>
    </row>
    <row r="21" ht="58" customHeight="1">
      <c r="A21" s="4" t="n">
        <v>17</v>
      </c>
      <c r="B21" s="5" t="inlineStr">
        <is>
          <t>Quarterly Connect email</t>
        </is>
      </c>
      <c r="C21" s="5" t="inlineStr">
        <is>
          <t>No email configuration for direct meeting scheduling.</t>
        </is>
      </c>
      <c r="D21" s="6" t="inlineStr">
        <is>
          <t>Blocked on credentials</t>
        </is>
      </c>
      <c r="E21" s="5" t="inlineStr">
        <is>
          <t>Meeting link and scheduling UI exist per connect. No SMTP configured on the box.</t>
        </is>
      </c>
      <c r="F21" s="7" t="inlineStr">
        <is>
          <t>Mindgate — credentials</t>
        </is>
      </c>
      <c r="G21" s="5" t="inlineStr">
        <is>
          <t>Provide SMTP host, port, user and password.</t>
        </is>
      </c>
      <c r="H21" s="4" t="n"/>
      <c r="I21" s="7" t="inlineStr"/>
      <c r="J21" s="7" t="inlineStr"/>
      <c r="K21" s="4" t="inlineStr"/>
      <c r="L21" s="5" t="inlineStr"/>
    </row>
    <row r="22" ht="58" customHeight="1">
      <c r="A22" s="8" t="n">
        <v>18</v>
      </c>
      <c r="B22" s="9" t="inlineStr">
        <is>
          <t>Rename Self-Appraisal to Annual Review</t>
        </is>
      </c>
      <c r="C22" s="9" t="inlineStr"/>
      <c r="D22" s="11" t="inlineStr">
        <is>
          <t>Done</t>
        </is>
      </c>
      <c r="E22" s="9" t="inlineStr">
        <is>
          <t>Live. Route unchanged (/my/self-appraisal) so existing links and notifications still work.</t>
        </is>
      </c>
      <c r="F22" s="10" t="inlineStr">
        <is>
          <t>—</t>
        </is>
      </c>
      <c r="G22" s="9" t="inlineStr">
        <is>
          <t>None.</t>
        </is>
      </c>
      <c r="H22" s="8" t="n"/>
      <c r="I22" s="10" t="inlineStr"/>
      <c r="J22" s="10" t="inlineStr"/>
      <c r="K22" s="8" t="inlineStr"/>
      <c r="L22" s="9" t="inlineStr"/>
    </row>
    <row r="23" ht="58" customHeight="1">
      <c r="A23" s="4" t="n">
        <v>19</v>
      </c>
      <c r="B23" s="5" t="inlineStr">
        <is>
          <t>Rename Annual Review to Final Rating</t>
        </is>
      </c>
      <c r="C23" s="5" t="inlineStr">
        <is>
          <t>It presents consolidated ratings.</t>
        </is>
      </c>
      <c r="D23" s="11" t="inlineStr">
        <is>
          <t>Done</t>
        </is>
      </c>
      <c r="E23" s="5" t="inlineStr">
        <is>
          <t>Live. Route unchanged (/my/annual-review).</t>
        </is>
      </c>
      <c r="F23" s="7" t="inlineStr">
        <is>
          <t>—</t>
        </is>
      </c>
      <c r="G23" s="5" t="inlineStr">
        <is>
          <t>None.</t>
        </is>
      </c>
      <c r="H23" s="4" t="n"/>
      <c r="I23" s="7" t="inlineStr"/>
      <c r="J23" s="7" t="inlineStr"/>
      <c r="K23" s="4" t="inlineStr"/>
      <c r="L23" s="5" t="inlineStr"/>
    </row>
    <row r="24" ht="58" customHeight="1">
      <c r="A24" s="8" t="n">
        <v>20</v>
      </c>
      <c r="B24" s="9" t="inlineStr">
        <is>
          <t>Manager rating visibility</t>
        </is>
      </c>
      <c r="C24" s="9" t="inlineStr">
        <is>
          <t>Confirm whether the employee sees the manager's rating, given it changes at DH / management review.</t>
        </is>
      </c>
      <c r="D24" s="11" t="inlineStr">
        <is>
          <t>Done — confirm again</t>
        </is>
      </c>
      <c r="E24" s="9" t="inlineStr">
        <is>
          <t>CHANGED ON 23 SEP at your request ("mid year under my performance still shows Manager reviews also which should ideally not be visible under self mid-year"). The employee now sees NO manager rating anywhere: My Rating still shows only the published final rating, and the manager's mid-year rating and comments have been removed from the employee's own Mid-Year page — including after publish, which is when they used to appear. The record is not deleted; the manager, Delivery Head and HR still see it.</t>
        </is>
      </c>
      <c r="F24" s="10" t="inlineStr">
        <is>
          <t>Mindgate — confirm</t>
        </is>
      </c>
      <c r="G24" s="9" t="inlineStr">
        <is>
          <t>Confirm this is what you want. If the employee should see the manager's mid-year reading once HR publishes, we put it on Final Rating instead — small change.</t>
        </is>
      </c>
      <c r="H24" s="8" t="n">
        <v>7</v>
      </c>
      <c r="I24" s="10" t="inlineStr"/>
      <c r="J24" s="10" t="inlineStr"/>
      <c r="K24" s="8" t="inlineStr"/>
      <c r="L24" s="9" t="inlineStr"/>
    </row>
    <row r="25" ht="58" customHeight="1">
      <c r="A25" s="4" t="n">
        <v>21</v>
      </c>
      <c r="B25" s="5" t="inlineStr">
        <is>
          <t>Final rating publishing rights</t>
        </is>
      </c>
      <c r="C25" s="5" t="inlineStr">
        <is>
          <t>Keep publishing within the cycle for HRBP and ops.</t>
        </is>
      </c>
      <c r="D25" s="11" t="inlineStr">
        <is>
          <t>Done</t>
        </is>
      </c>
      <c r="E25" s="5" t="inlineStr">
        <is>
          <t>Publish is gated on pms_admin, which both HR and admin hold; nobody else can publish.</t>
        </is>
      </c>
      <c r="F25" s="7" t="inlineStr">
        <is>
          <t>—</t>
        </is>
      </c>
      <c r="G25" s="5" t="inlineStr">
        <is>
          <t>None.</t>
        </is>
      </c>
      <c r="H25" s="4" t="n"/>
      <c r="I25" s="7" t="inlineStr"/>
      <c r="J25" s="7" t="inlineStr"/>
      <c r="K25" s="4" t="inlineStr"/>
      <c r="L25" s="5" t="inlineStr"/>
    </row>
    <row r="26" ht="58" customHeight="1">
      <c r="A26" s="8" t="n">
        <v>22</v>
      </c>
      <c r="B26" s="9" t="inlineStr">
        <is>
          <t>Access setup for testing</t>
        </is>
      </c>
      <c r="C26" s="9" t="inlineStr">
        <is>
          <t>One employee and one manager account.</t>
        </is>
      </c>
      <c r="D26" s="12" t="inlineStr">
        <is>
          <t>With Mindgate</t>
        </is>
      </c>
      <c r="E26" s="9" t="inlineStr">
        <is>
          <t>Mindgate confirmed 25 Sep 2026 that the logins will be created from their side. Production has two logins today: hr.admin@mindgate.com (admin) and pavan.kumar@mindgate.in (employee role, 0 reports).</t>
        </is>
      </c>
      <c r="F26" s="10" t="inlineStr">
        <is>
          <t>Mindgate — accounts</t>
        </is>
      </c>
      <c r="G26" s="9" t="inlineStr">
        <is>
          <t>Create the employee and manager logins. Tell us if you would rather we created them.</t>
        </is>
      </c>
      <c r="H26" s="8" t="n">
        <v>2</v>
      </c>
      <c r="I26" s="10" t="inlineStr"/>
      <c r="J26" s="10" t="inlineStr"/>
      <c r="K26" s="8" t="inlineStr"/>
      <c r="L26" s="9" t="inlineStr"/>
    </row>
    <row r="27" ht="58" customHeight="1">
      <c r="A27" s="4" t="n">
        <v>23</v>
      </c>
      <c r="B27" s="5" t="inlineStr">
        <is>
          <t>Global search and approval buttons</t>
        </is>
      </c>
      <c r="C27" s="5" t="inlineStr">
        <is>
          <t>Add across all relevant screens.</t>
        </is>
      </c>
      <c r="D27" s="11" t="inlineStr">
        <is>
          <t>Done</t>
        </is>
      </c>
      <c r="E27" s="5" t="inlineStr">
        <is>
          <t>Search: the shared control is now on 16 list pages — Team KRA Sheets, Team Evaluation, Team Mid-Year, Team Target Achievements, KRA Library, Calibration, 9-Box, PIP, Super 50, Closure Letters, Completion Report, Department Heads, Increment Simulation, Delivery Head queue, Quarterly Connects and Review Analysis. Approval: All Approvals is live, and since 23 Sep each row opens the record itself before you decide on it.</t>
        </is>
      </c>
      <c r="F27" s="7" t="inlineStr">
        <is>
          <t>—</t>
        </is>
      </c>
      <c r="G27" s="5" t="inlineStr">
        <is>
          <t>None.</t>
        </is>
      </c>
      <c r="H27" s="4" t="n"/>
      <c r="I27" s="7" t="inlineStr"/>
      <c r="J27" s="7" t="inlineStr"/>
      <c r="K27" s="4" t="inlineStr"/>
      <c r="L27" s="5" t="inlineStr"/>
    </row>
    <row r="28" ht="58" customHeight="1">
      <c r="A28" s="8" t="n">
        <v>24</v>
      </c>
      <c r="B28" s="9" t="inlineStr">
        <is>
          <t>KRA approval workflow</t>
        </is>
      </c>
      <c r="C28" s="9" t="inlineStr">
        <is>
          <t>Approved KRA missing from the Approved tab; direct approve when unchanged; Save &amp; Submit when edited.</t>
        </is>
      </c>
      <c r="D28" s="6" t="inlineStr">
        <is>
          <t>Done</t>
        </is>
      </c>
      <c r="E28" s="9" t="inlineStr">
        <is>
          <t>Closed 24 Sep 2026. A manager can now edit a submitted KRA sheet in place on Team KRA Sheets — submitted sheets only, weights must still total 100, every field change audited before/after, and the employee notified. The sheet stays submitted, so Approve/Return still apply.</t>
        </is>
      </c>
      <c r="F28" s="10" t="inlineStr">
        <is>
          <t>—</t>
        </is>
      </c>
      <c r="G28" s="9" t="inlineStr">
        <is>
          <t>None.</t>
        </is>
      </c>
      <c r="H28" s="8" t="n"/>
      <c r="I28" s="10" t="inlineStr"/>
      <c r="J28" s="10" t="inlineStr"/>
      <c r="K28" s="8" t="inlineStr"/>
      <c r="L28" s="9" t="inlineStr"/>
    </row>
    <row r="29" ht="58" customHeight="1">
      <c r="A29" s="4" t="n">
        <v>25</v>
      </c>
      <c r="B29" s="5" t="inlineStr">
        <is>
          <t>Role-based views</t>
        </is>
      </c>
      <c r="C29" s="5" t="inlineStr">
        <is>
          <t>On login show Self, Manager and HR tabs and route accordingly.</t>
        </is>
      </c>
      <c r="D29" s="11" t="inlineStr">
        <is>
          <t>Done</t>
        </is>
      </c>
      <c r="E29" s="5" t="inlineStr">
        <is>
          <t>Live. THREE role tabs, not four: Self for everyone, + Manager for people with reports, + HR for HR and super admin. Engagement and People Hub folded into Self. Which tabs and pages you see is driven by core.page_permission, one row per page, which gates both the menu and a pasted URL — 33 pages: employee 12, manager 18, HR/admin 33.</t>
        </is>
      </c>
      <c r="F29" s="7" t="inlineStr">
        <is>
          <t>—</t>
        </is>
      </c>
      <c r="G29" s="5" t="inlineStr">
        <is>
          <t>None.</t>
        </is>
      </c>
      <c r="H29" s="4" t="n"/>
      <c r="I29" s="7" t="inlineStr"/>
      <c r="J29" s="7" t="inlineStr"/>
      <c r="K29" s="4" t="inlineStr"/>
      <c r="L29" s="5" t="inlineStr"/>
    </row>
    <row r="30" ht="58" customHeight="1">
      <c r="A30" s="8" t="n">
        <v>26</v>
      </c>
      <c r="B30" s="9" t="inlineStr">
        <is>
          <t>Manager dashboard tracking</t>
        </is>
      </c>
      <c r="C30" s="9" t="inlineStr">
        <is>
          <t>Highlight pending vs approved under a tab for managers.</t>
        </is>
      </c>
      <c r="D30" s="11" t="inlineStr">
        <is>
          <t>Done</t>
        </is>
      </c>
      <c r="E30" s="9" t="inlineStr">
        <is>
          <t>Team KRA Sheets has Pending your review / Approved / Returned / Not submitted tabs with live counts. The Home dashboard adds the manager view: evaluations still to write, reports with no connect logged, pending requests split by kind, and Team Overview lists every report against every phase.</t>
        </is>
      </c>
      <c r="F30" s="10" t="inlineStr">
        <is>
          <t>—</t>
        </is>
      </c>
      <c r="G30" s="9" t="inlineStr">
        <is>
          <t>None.</t>
        </is>
      </c>
      <c r="H30" s="8" t="n"/>
      <c r="I30" s="10" t="inlineStr"/>
      <c r="J30" s="10" t="inlineStr"/>
      <c r="K30" s="8" t="inlineStr"/>
      <c r="L30" s="9" t="inlineStr"/>
    </row>
    <row r="31" ht="58" customHeight="1">
      <c r="A31" s="4" t="n">
        <v>27</v>
      </c>
      <c r="B31" s="5" t="inlineStr">
        <is>
          <t>Analytics dashboard on login</t>
        </is>
      </c>
      <c r="C31" s="5" t="inlineStr">
        <is>
          <t>Overview of completed and pending across the company.</t>
        </is>
      </c>
      <c r="D31" s="11" t="inlineStr">
        <is>
          <t>Done</t>
        </is>
      </c>
      <c r="E31" s="5" t="inlineStr">
        <is>
          <t>Shipped 22–23 Sep. Signing in lands on Home, not on My KRAs: a six-card stat strip, one banner naming the single thing waiting on you, desk tiles that only appear when their count is non-zero, "Requested to manager" for employees and "Pending requests" for manager and above, and a blocking-issues line (for example employees with no reporting manager).</t>
        </is>
      </c>
      <c r="F31" s="7" t="inlineStr">
        <is>
          <t>—</t>
        </is>
      </c>
      <c r="G31" s="5" t="inlineStr">
        <is>
          <t>None.</t>
        </is>
      </c>
      <c r="H31" s="4" t="n"/>
      <c r="I31" s="7" t="inlineStr"/>
      <c r="J31" s="7" t="inlineStr"/>
      <c r="K31" s="4" t="inlineStr"/>
      <c r="L31" s="5" t="inlineStr"/>
    </row>
    <row r="32" ht="58" customHeight="1">
      <c r="A32" s="8" t="n">
        <v>28</v>
      </c>
      <c r="B32" s="9" t="inlineStr">
        <is>
          <t>UI does not match the shared screens</t>
        </is>
      </c>
      <c r="C32" s="9" t="inlineStr"/>
      <c r="D32" s="11" t="inlineStr">
        <is>
          <t>Done</t>
        </is>
      </c>
      <c r="E32" s="9" t="inlineStr">
        <is>
          <t>Live. Full product name, coloured page bands, filled stat tiles, role tabs, per-role gating, one shared search control, and the single KRA table (Parameters / KRAs / KPIs / Weightage) on every screen that lists KRAs. The pink accent was replaced with blue on 23 Sep at your request.</t>
        </is>
      </c>
      <c r="F32" s="10" t="inlineStr">
        <is>
          <t>—</t>
        </is>
      </c>
      <c r="G32" s="9" t="inlineStr">
        <is>
          <t>None.</t>
        </is>
      </c>
      <c r="H32" s="8" t="n"/>
      <c r="I32" s="10" t="inlineStr"/>
      <c r="J32" s="10" t="inlineStr"/>
      <c r="K32" s="8" t="inlineStr"/>
      <c r="L32" s="9" t="inlineStr"/>
    </row>
    <row r="33" ht="58" customHeight="1">
      <c r="A33" s="4" t="n">
        <v>29</v>
      </c>
      <c r="B33" s="5" t="inlineStr">
        <is>
          <t>Current designation in the growth section</t>
        </is>
      </c>
      <c r="C33" s="5" t="inlineStr"/>
      <c r="D33" s="11" t="inlineStr">
        <is>
          <t>Done</t>
        </is>
      </c>
      <c r="E33" s="5" t="inlineStr">
        <is>
          <t>Aspiring Career now reads the current designation and department from the employee record and shows them above Target role. Two questions were added at the same time (total years of experience, skills and interests) and the AI readiness verdict is built from them.</t>
        </is>
      </c>
      <c r="F33" s="7" t="inlineStr">
        <is>
          <t>—</t>
        </is>
      </c>
      <c r="G33" s="5" t="inlineStr">
        <is>
          <t>None.</t>
        </is>
      </c>
      <c r="H33" s="4" t="n"/>
      <c r="I33" s="7" t="inlineStr"/>
      <c r="J33" s="7" t="inlineStr"/>
      <c r="K33" s="4" t="inlineStr"/>
      <c r="L33" s="5" t="inlineStr"/>
    </row>
    <row r="34" ht="58" customHeight="1">
      <c r="A34" s="8" t="n">
        <v>30</v>
      </c>
      <c r="B34" s="9" t="inlineStr">
        <is>
          <t>Potential rating + mid-year checkpoint</t>
        </is>
      </c>
      <c r="C34" s="9" t="inlineStr">
        <is>
          <t>Add potential rating to the manager rating column; show the halfway reading as a reference scale that does not count.</t>
        </is>
      </c>
      <c r="D34" s="11" t="inlineStr">
        <is>
          <t>Done</t>
        </is>
      </c>
      <c r="E34" s="9" t="inlineStr">
        <is>
          <t>Potential deployed 23 Sep on the manager's evaluation AND at calibration, kept as two separate values so neither overwrites the other. Mid-year already rates per KRA and is excluded from the final rating.</t>
        </is>
      </c>
      <c r="F34" s="10" t="inlineStr">
        <is>
          <t>—</t>
        </is>
      </c>
      <c r="G34" s="9" t="inlineStr">
        <is>
          <t>None.</t>
        </is>
      </c>
      <c r="H34" s="8" t="n"/>
      <c r="I34" s="10" t="inlineStr"/>
      <c r="J34" s="10" t="inlineStr"/>
      <c r="K34" s="8" t="inlineStr"/>
      <c r="L34" s="9" t="inlineStr"/>
    </row>
    <row r="35" ht="58" customHeight="1">
      <c r="A35" s="4" t="n">
        <v>31</v>
      </c>
      <c r="B35" s="5" t="inlineStr">
        <is>
          <t>Quarterly connect should focus more on confirmation</t>
        </is>
      </c>
      <c r="C35" s="5" t="inlineStr"/>
      <c r="D35" s="6" t="inlineStr">
        <is>
          <t>Needs clarification</t>
        </is>
      </c>
      <c r="E35" s="5" t="inlineStr">
        <is>
          <t>Manager sign-off is fully built: a Sign off action, Signed off / Pending sign-off chips and an 'N awaiting sign-off' count. Pending sign-offs are NOT yet listed in All Approvals.</t>
        </is>
      </c>
      <c r="F35" s="7" t="inlineStr">
        <is>
          <t>Mindgate — clarify</t>
        </is>
      </c>
      <c r="G35" s="5" t="inlineStr">
        <is>
          <t>Tell us what 'more confirmation' means beyond sign-off. Adding pending sign-offs to All Approvals is small and we can do it now.</t>
        </is>
      </c>
      <c r="H35" s="4" t="n">
        <v>5</v>
      </c>
      <c r="I35" s="7" t="inlineStr"/>
      <c r="J35" s="7" t="inlineStr"/>
      <c r="K35" s="4" t="inlineStr"/>
      <c r="L35" s="5" t="inlineStr"/>
    </row>
  </sheetData>
  <autoFilter ref="A4:L35"/>
  <mergeCells count="2">
    <mergeCell ref="A2:L2"/>
    <mergeCell ref="A1:L1"/>
  </mergeCells>
  <conditionalFormatting sqref="A5:L35">
    <cfRule type="expression" priority="1" dxfId="0">
      <formula>$K5="Yes"</formula>
    </cfRule>
  </conditionalFormatting>
  <dataValidations count="1">
    <dataValidation sqref="K5:K35" showDropDown="0" showInputMessage="0" showErrorMessage="0" allowBlank="1" type="list">
      <formula1>"Yes,No,In progress"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4" customWidth="1" min="1" max="1"/>
    <col width="62" customWidth="1" min="2" max="2"/>
    <col width="60" customWidth="1" min="3" max="3"/>
  </cols>
  <sheetData>
    <row r="1">
      <c r="A1" s="13" t="inlineStr">
        <is>
          <t>Where the 31 points stand</t>
        </is>
      </c>
    </row>
    <row r="2">
      <c r="A2" s="2" t="inlineStr">
        <is>
          <t>Counts are formulas over the Tracker tab, so they follow it as you work. Checked against the deployed code on 25 Sep 2026 and updated with Mindgate's closures of the same day (points 1, 2, 4, 7 and 12).</t>
        </is>
      </c>
    </row>
    <row r="4">
      <c r="A4" s="14" t="inlineStr">
        <is>
          <t>Status</t>
        </is>
      </c>
      <c r="B4" s="14" t="inlineStr">
        <is>
          <t>Points</t>
        </is>
      </c>
      <c r="C4" s="14" t="inlineStr">
        <is>
          <t>What it means</t>
        </is>
      </c>
    </row>
    <row r="5">
      <c r="A5" s="15" t="inlineStr">
        <is>
          <t>Done</t>
        </is>
      </c>
      <c r="B5" s="16">
        <f>COUNTIF(Tracker!$D$5:$D$35,"Done*")</f>
        <v/>
      </c>
      <c r="C5" s="16" t="inlineStr">
        <is>
          <t>Shipped and verified on production — nothing to do.</t>
        </is>
      </c>
    </row>
    <row r="6">
      <c r="A6" s="17" t="inlineStr">
        <is>
          <t>Partly done</t>
        </is>
      </c>
      <c r="B6" s="16">
        <f>COUNTIF(Tracker!$D$5:$D$35,A6)</f>
        <v/>
      </c>
      <c r="C6" s="16" t="inlineStr">
        <is>
          <t>Part of the ask is live; the rest is listed in Next action.</t>
        </is>
      </c>
    </row>
    <row r="7">
      <c r="A7" s="17" t="inlineStr">
        <is>
          <t>Blocked on data</t>
        </is>
      </c>
      <c r="B7" s="16">
        <f>COUNTIF(Tracker!$D$5:$D$35,A7)</f>
        <v/>
      </c>
      <c r="C7" s="16" t="inlineStr">
        <is>
          <t>Built, waiting on values only Mindgate can supply.</t>
        </is>
      </c>
    </row>
    <row r="8">
      <c r="A8" s="17" t="inlineStr">
        <is>
          <t>Blocked on credentials</t>
        </is>
      </c>
      <c r="B8" s="16">
        <f>COUNTIF(Tracker!$D$5:$D$35,A8)</f>
        <v/>
      </c>
      <c r="C8" s="16" t="inlineStr">
        <is>
          <t>Built, waiting on SMTP or Google credentials.</t>
        </is>
      </c>
    </row>
    <row r="9">
      <c r="A9" s="17" t="inlineStr">
        <is>
          <t>With Mindgate</t>
        </is>
      </c>
      <c r="B9" s="16">
        <f>COUNTIF(Tracker!$D$5:$D$35,A9)</f>
        <v/>
      </c>
      <c r="C9" s="16" t="inlineStr">
        <is>
          <t>Built; waiting on the test logins Mindgate is creating.</t>
        </is>
      </c>
    </row>
    <row r="10">
      <c r="A10" s="17" t="inlineStr">
        <is>
          <t>Needs clarification</t>
        </is>
      </c>
      <c r="B10" s="16">
        <f>COUNTIF(Tracker!$D$5:$D$35,A10)</f>
        <v/>
      </c>
      <c r="C10" s="16" t="inlineStr">
        <is>
          <t>We need to know what you mean before building.</t>
        </is>
      </c>
    </row>
    <row r="11">
      <c r="A11" s="18" t="inlineStr">
        <is>
          <t>Not built</t>
        </is>
      </c>
      <c r="B11" s="16">
        <f>COUNTIF(Tracker!$D$5:$D$35,A11)</f>
        <v/>
      </c>
      <c r="C11" s="16" t="inlineStr">
        <is>
          <t>No code for this yet.</t>
        </is>
      </c>
    </row>
    <row r="12">
      <c r="A12" s="19" t="inlineStr">
        <is>
          <t>Total</t>
        </is>
      </c>
      <c r="B12" s="19">
        <f>COUNTA(Tracker!$A$5:$A$35)</f>
        <v/>
      </c>
      <c r="C12" s="20" t="n"/>
    </row>
    <row r="14">
      <c r="A14" s="21" t="inlineStr">
        <is>
          <t>Marked Yes by you</t>
        </is>
      </c>
      <c r="B14" s="22">
        <f>COUNTIF(Tracker!$K$5:$K$35,"Yes")</f>
        <v/>
      </c>
    </row>
    <row r="15">
      <c r="A15" s="21" t="inlineStr">
        <is>
          <t>Still open</t>
        </is>
      </c>
      <c r="B15" s="22">
        <f>B12-B14</f>
        <v/>
      </c>
    </row>
    <row r="17">
      <c r="A17" s="23" t="inlineStr">
        <is>
          <t>Suggested order of work (from the Tracker's 'Suggested order' column)</t>
        </is>
      </c>
    </row>
    <row r="18" ht="15" customHeight="1">
      <c r="A18" s="21" t="n">
        <v>1</v>
      </c>
      <c r="B18" s="22" t="inlineStr">
        <is>
          <t>Rotate the Anthropic API key on the production box — overdue, and the key is live.</t>
        </is>
      </c>
    </row>
    <row r="19" ht="15" customHeight="1">
      <c r="A19" s="21" t="n">
        <v>2</v>
      </c>
      <c r="B19" s="22" t="inlineStr">
        <is>
          <t>Create the employee and manager test logins (point 22), so the submit-approve loop can be demonstrated end to end.</t>
        </is>
      </c>
    </row>
    <row r="20" ht="15" customHeight="1">
      <c r="A20" s="21" t="n">
        <v>3</v>
      </c>
      <c r="B20" s="22" t="inlineStr">
        <is>
          <t>Give us SMTP (point 17) so reminders and connect invitations actually leave the box.</t>
        </is>
      </c>
    </row>
    <row r="21" ht="15" customHeight="1">
      <c r="A21" s="21" t="n">
        <v>4</v>
      </c>
      <c r="B21" s="22" t="inlineStr">
        <is>
          <t>Give us the Google OAuth client ID and secret (point 5) to switch Meet links on.</t>
        </is>
      </c>
    </row>
    <row r="22" ht="15" customHeight="1">
      <c r="A22" s="21" t="n">
        <v>5</v>
      </c>
      <c r="B22" s="22" t="inlineStr">
        <is>
          <t>Tell us what ‘more confirmation’ means for quarterly connects (point 31) and we build it the same day.</t>
        </is>
      </c>
    </row>
    <row r="23" ht="15" customHeight="1">
      <c r="A23" s="21" t="n">
        <v>6</v>
      </c>
      <c r="B23" s="22" t="inlineStr">
        <is>
          <t>Confirm the new mid-year visibility (point 20) — the employee no longer sees the manager’s mid-year rating at all.</t>
        </is>
      </c>
    </row>
    <row r="24" ht="15" customHeight="1">
      <c r="A24" s="21" t="n">
        <v>7</v>
      </c>
      <c r="B24" s="22" t="inlineStr">
        <is>
          <t>Upload the suggested Career Pathing Matrix, and send prior-year ratings so Super 50 and the 9-box have history to read.</t>
        </is>
      </c>
    </row>
    <row r="25" ht="15" customHeight="1">
      <c r="A25" s="21" t="n">
        <v>8</v>
      </c>
      <c r="B25" s="22" t="inlineStr">
        <is>
          <t>Assign a reporting manager to the 61 employees who have none (Development 27, Application Support 22).</t>
        </is>
      </c>
    </row>
    <row r="26" ht="15" customHeight="1">
      <c r="A26" s="21" t="n"/>
      <c r="B26" s="22" t="n"/>
    </row>
  </sheetData>
  <mergeCells count="9">
    <mergeCell ref="B21:C21"/>
    <mergeCell ref="B24:C24"/>
    <mergeCell ref="B25:C25"/>
    <mergeCell ref="B19:C19"/>
    <mergeCell ref="B20:C20"/>
    <mergeCell ref="B23:C23"/>
    <mergeCell ref="B22:C22"/>
    <mergeCell ref="B26:C26"/>
    <mergeCell ref="B18:C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10" customWidth="1" min="1" max="1"/>
    <col width="52" customWidth="1" min="2" max="2"/>
    <col width="58" customWidth="1" min="3" max="3"/>
    <col width="26" customWidth="1" min="4" max="4"/>
    <col width="11" customWidth="1" min="5" max="5"/>
  </cols>
  <sheetData>
    <row r="1">
      <c r="A1" s="13" t="inlineStr">
        <is>
          <t>The points waiting on Mindgate</t>
        </is>
      </c>
    </row>
    <row r="2">
      <c r="A2" s="2" t="inlineStr">
        <is>
          <t>Nothing on this tab can be finished by us alone. Points 1, 2, 4, 7 and 12 were closed by Mindgate on 25 Sep and have come off it.</t>
        </is>
      </c>
    </row>
    <row r="4">
      <c r="A4" s="14" t="inlineStr">
        <is>
          <t>Point</t>
        </is>
      </c>
      <c r="B4" s="14" t="inlineStr">
        <is>
          <t>What we need</t>
        </is>
      </c>
      <c r="C4" s="14" t="inlineStr">
        <is>
          <t>Why it is stuck</t>
        </is>
      </c>
      <c r="D4" s="14" t="inlineStr">
        <is>
          <t>Who</t>
        </is>
      </c>
      <c r="E4" s="14" t="inlineStr">
        <is>
          <t>Provided?</t>
        </is>
      </c>
    </row>
    <row r="5" ht="30" customHeight="1">
      <c r="A5" s="48" t="inlineStr">
        <is>
          <t>22</t>
        </is>
      </c>
      <c r="B5" s="48" t="inlineStr">
        <is>
          <t>The employee and manager logins on production</t>
        </is>
      </c>
      <c r="C5" s="48" t="inlineStr">
        <is>
          <t>Mindgate is creating them; only hr.admin@mindgate.com and pavan.kumar@mindgate.in exist today</t>
        </is>
      </c>
      <c r="D5" s="48" t="inlineStr">
        <is>
          <t>Mindgate — accounts</t>
        </is>
      </c>
      <c r="E5" s="48" t="n"/>
    </row>
    <row r="6" ht="30" customHeight="1">
      <c r="A6" s="49" t="inlineStr">
        <is>
          <t>17</t>
        </is>
      </c>
      <c r="B6" s="49" t="inlineStr">
        <is>
          <t>SMTP host, port, user, password</t>
        </is>
      </c>
      <c r="C6" s="49" t="inlineStr">
        <is>
          <t>No mail can leave the box, so reminders and connect invitations stay in-app</t>
        </is>
      </c>
      <c r="D6" s="49" t="inlineStr">
        <is>
          <t>Mindgate — IT</t>
        </is>
      </c>
      <c r="E6" s="49" t="n"/>
    </row>
    <row r="7" ht="30" customHeight="1">
      <c r="A7" s="48" t="inlineStr">
        <is>
          <t>5</t>
        </is>
      </c>
      <c r="B7" s="48" t="inlineStr">
        <is>
          <t>Google OAuth client ID and secret</t>
        </is>
      </c>
      <c r="C7" s="48" t="inlineStr">
        <is>
          <t>Meet cannot be connected without them</t>
        </is>
      </c>
      <c r="D7" s="48" t="inlineStr">
        <is>
          <t>Mindgate — IT</t>
        </is>
      </c>
      <c r="E7" s="48" t="n"/>
    </row>
    <row r="8" ht="30" customHeight="1">
      <c r="A8" s="49" t="inlineStr">
        <is>
          <t>31</t>
        </is>
      </c>
      <c r="B8" s="49" t="inlineStr">
        <is>
          <t>What 'more confirmation' means beyond manager sign-off</t>
        </is>
      </c>
      <c r="C8" s="49" t="inlineStr">
        <is>
          <t>Sign-off is already built</t>
        </is>
      </c>
      <c r="D8" s="49" t="inlineStr">
        <is>
          <t>Mindgate</t>
        </is>
      </c>
      <c r="E8" s="49" t="n"/>
    </row>
    <row r="9" ht="30" customHeight="1">
      <c r="A9" s="48" t="inlineStr">
        <is>
          <t>8</t>
        </is>
      </c>
      <c r="B9" s="48" t="inlineStr">
        <is>
          <t>Rotate the Anthropic API key</t>
        </is>
      </c>
      <c r="C9" s="48" t="inlineStr">
        <is>
          <t>Flagged repeatedly; the key is still live on the box</t>
        </is>
      </c>
      <c r="D9" s="48" t="inlineStr">
        <is>
          <t>Mindgate — IT</t>
        </is>
      </c>
      <c r="E9" s="48" t="n"/>
    </row>
    <row r="10" ht="30" customHeight="1">
      <c r="A10" s="49" t="inlineStr">
        <is>
          <t>20</t>
        </is>
      </c>
      <c r="B10" s="49" t="inlineStr">
        <is>
          <t>Confirmation that the employee should never see the manager’s mid-year rating</t>
        </is>
      </c>
      <c r="C10" s="49" t="inlineStr">
        <is>
          <t>You asked for it removed on 23 Sep; it is now hidden even after publish</t>
        </is>
      </c>
      <c r="D10" s="49" t="inlineStr">
        <is>
          <t>Mindgate</t>
        </is>
      </c>
      <c r="E10" s="49" t="n"/>
    </row>
    <row r="11" ht="30" customHeight="1">
      <c r="A11" s="48" t="inlineStr">
        <is>
          <t>13</t>
        </is>
      </c>
      <c r="B11" s="48" t="inlineStr">
        <is>
          <t>The Career Pathing Matrix uploaded back</t>
        </is>
      </c>
      <c r="C11" s="48" t="inlineStr">
        <is>
          <t>159 transitions are generated and downloadable; nothing has been uploaded yet</t>
        </is>
      </c>
      <c r="D11" s="48" t="inlineStr">
        <is>
          <t>Mindgate — HR</t>
        </is>
      </c>
      <c r="E11" s="48" t="n"/>
    </row>
    <row r="12" ht="30" customHeight="1">
      <c r="A12" s="49" t="inlineStr">
        <is>
          <t>—</t>
        </is>
      </c>
      <c r="B12" s="49" t="inlineStr">
        <is>
          <t>Prior-year annual ratings</t>
        </is>
      </c>
      <c r="C12" s="49" t="inlineStr">
        <is>
          <t>Super 50 needs three years of history and the derived 9-box needs published ratings; there are none</t>
        </is>
      </c>
      <c r="D12" s="49" t="inlineStr">
        <is>
          <t>Mindgate — HR</t>
        </is>
      </c>
      <c r="E12" s="49" t="n"/>
    </row>
    <row r="13" ht="30" customHeight="1">
      <c r="A13" s="48" t="inlineStr">
        <is>
          <t>—</t>
        </is>
      </c>
      <c r="B13" s="48" t="inlineStr">
        <is>
          <t>A reporting manager for 61 employees</t>
        </is>
      </c>
      <c r="C13" s="48" t="inlineStr">
        <is>
          <t>Development 27, Application Support 22 — their KRAs have nobody to approve them</t>
        </is>
      </c>
      <c r="D13" s="48" t="inlineStr">
        <is>
          <t>Mindgate — HR</t>
        </is>
      </c>
      <c r="E13" s="48" t="n"/>
    </row>
    <row r="14" ht="32" customHeight="1">
      <c r="A14" s="24" t="n"/>
      <c r="B14" s="25" t="n"/>
      <c r="C14" s="25" t="n"/>
      <c r="D14" s="24" t="n"/>
      <c r="E14" s="24" t="n"/>
    </row>
  </sheetData>
  <dataValidations count="1">
    <dataValidation sqref="E5:E1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2026-09-23T03:11:39Z</dcterms:created>
  <dcterms:modified xmlns:dcterms="http://purl.org/dc/terms/" xmlns:xsi="http://www.w3.org/2001/XMLSchema-instance" xsi:type="dcterms:W3CDTF">2026-09-25T05:01:32Z</dcterms:modified>
</cp:coreProperties>
</file>