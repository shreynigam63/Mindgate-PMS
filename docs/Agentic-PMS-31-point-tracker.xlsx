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us" sheetId="1" state="visible" r:id="rId1"/>
    <sheet xmlns:r="http://schemas.openxmlformats.org/officeDocument/2006/relationships" name="Tracker" sheetId="2" state="visible" r:id="rId2"/>
    <sheet xmlns:r="http://schemas.openxmlformats.org/officeDocument/2006/relationships" name="Summary" sheetId="3" state="visible" r:id="rId3"/>
    <sheet xmlns:r="http://schemas.openxmlformats.org/officeDocument/2006/relationships" name="What we need from you" sheetId="4" state="visible" r:id="rId4"/>
  </sheets>
  <definedNames>
    <definedName name="_xlnm._FilterDatabase" localSheetId="1" hidden="1">'Tracker'!$A$4:$L$35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B3B6F"/>
      <sz val="15"/>
    </font>
    <font>
      <name val="Arial"/>
      <i val="1"/>
      <color rgb="003A5A8C"/>
      <sz val="9"/>
    </font>
    <font>
      <name val="Arial"/>
      <b val="1"/>
      <color rgb="00FFFFFF"/>
      <sz val="10"/>
    </font>
    <font>
      <name val="Arial"/>
      <sz val="10"/>
    </font>
    <font>
      <name val="Arial"/>
      <b val="1"/>
      <sz val="10"/>
    </font>
    <font>
      <name val="Arial"/>
      <b val="1"/>
      <color rgb="001B3B6F"/>
      <sz val="14"/>
    </font>
    <font>
      <name val="Arial"/>
      <b val="1"/>
      <color rgb="001B3B6F"/>
      <sz val="11"/>
    </font>
    <font>
      <b val="1"/>
      <color rgb="001B3B6F"/>
      <sz val="15"/>
    </font>
    <font>
      <color rgb="003A5A8C"/>
      <sz val="9"/>
    </font>
    <font>
      <b val="1"/>
      <color rgb="00000000"/>
      <sz val="10"/>
    </font>
    <font>
      <color rgb="00000000"/>
      <sz val="10"/>
    </font>
    <font>
      <b val="1"/>
      <color rgb="00FFFFFF"/>
      <sz val="10"/>
    </font>
  </fonts>
  <fills count="7">
    <fill>
      <patternFill/>
    </fill>
    <fill>
      <patternFill patternType="gray125"/>
    </fill>
    <fill>
      <patternFill patternType="solid">
        <fgColor rgb="001B3B6F"/>
      </patternFill>
    </fill>
    <fill>
      <patternFill patternType="solid">
        <fgColor rgb="00FFF3E0"/>
      </patternFill>
    </fill>
    <fill>
      <patternFill patternType="solid">
        <fgColor rgb="00F4F7FC"/>
      </patternFill>
    </fill>
    <fill>
      <patternFill patternType="solid">
        <fgColor rgb="00E3F4E4"/>
      </patternFill>
    </fill>
    <fill>
      <patternFill patternType="solid">
        <fgColor rgb="00FDE7EE"/>
      </patternFill>
    </fill>
  </fills>
  <borders count="3">
    <border>
      <left/>
      <right/>
      <top/>
      <bottom/>
      <diagonal/>
    </border>
    <border>
      <left style="thin">
        <color rgb="00DBE3EF"/>
      </left>
      <right style="thin">
        <color rgb="00DBE3EF"/>
      </right>
      <top style="thin">
        <color rgb="00DBE3EF"/>
      </top>
      <bottom style="thin">
        <color rgb="00DBE3EF"/>
      </bottom>
    </border>
    <border>
      <bottom style="thin">
        <color rgb="00DBE3EF"/>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5" fillId="3" borderId="1" applyAlignment="1" pivotButton="0" quotePrefix="0" xfId="0">
      <alignment horizontal="left" vertical="top"/>
    </xf>
    <xf numFmtId="0" fontId="4" fillId="0" borderId="1" applyAlignment="1" pivotButton="0" quotePrefix="0" xfId="0">
      <alignment horizontal="left" vertical="top"/>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4" fillId="4" borderId="1" applyAlignment="1" pivotButton="0" quotePrefix="0" xfId="0">
      <alignment horizontal="left" vertical="top"/>
    </xf>
    <xf numFmtId="0" fontId="5" fillId="5" borderId="1" applyAlignment="1" pivotButton="0" quotePrefix="0" xfId="0">
      <alignment horizontal="left" vertical="top"/>
    </xf>
    <xf numFmtId="0" fontId="5" fillId="6" borderId="1" applyAlignment="1" pivotButton="0" quotePrefix="0" xfId="0">
      <alignment horizontal="left" vertical="top"/>
    </xf>
    <xf numFmtId="0" fontId="6" fillId="0" borderId="0" pivotButton="0" quotePrefix="0" xfId="0"/>
    <xf numFmtId="0" fontId="3" fillId="2" borderId="1" pivotButton="0" quotePrefix="0" xfId="0"/>
    <xf numFmtId="0" fontId="5" fillId="5" borderId="1" pivotButton="0" quotePrefix="0" xfId="0"/>
    <xf numFmtId="0" fontId="4" fillId="0" borderId="1" pivotButton="0" quotePrefix="0" xfId="0"/>
    <xf numFmtId="0" fontId="5" fillId="3" borderId="1" pivotButton="0" quotePrefix="0" xfId="0"/>
    <xf numFmtId="0" fontId="5" fillId="6" borderId="1" pivotButton="0" quotePrefix="0" xfId="0"/>
    <xf numFmtId="0" fontId="5" fillId="0" borderId="1" pivotButton="0" quotePrefix="0" xfId="0"/>
    <xf numFmtId="0" fontId="0" fillId="0" borderId="1" pivotButton="0" quotePrefix="0" xfId="0"/>
    <xf numFmtId="0" fontId="5" fillId="0" borderId="0" pivotButton="0" quotePrefix="0" xfId="0"/>
    <xf numFmtId="0" fontId="4" fillId="0" borderId="0" pivotButton="0" quotePrefix="0" xfId="0"/>
    <xf numFmtId="0" fontId="7" fillId="0" borderId="0" pivotButton="0" quotePrefix="0" xfId="0"/>
    <xf numFmtId="0" fontId="4" fillId="0"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8" fillId="0" borderId="0" applyAlignment="1" pivotButton="0" quotePrefix="0" xfId="0">
      <alignment vertical="top"/>
    </xf>
    <xf numFmtId="0" fontId="9" fillId="0" borderId="0" applyAlignment="1" pivotButton="0" quotePrefix="0" xfId="0">
      <alignment vertical="top"/>
    </xf>
    <xf numFmtId="0" fontId="10" fillId="0" borderId="2" applyAlignment="1" pivotButton="0" quotePrefix="0" xfId="0">
      <alignment vertical="top"/>
    </xf>
    <xf numFmtId="0" fontId="10" fillId="0" borderId="2" applyAlignment="1" pivotButton="0" quotePrefix="0" xfId="0">
      <alignment horizontal="left" vertical="top"/>
    </xf>
    <xf numFmtId="0" fontId="11" fillId="0" borderId="2" applyAlignment="1" pivotButton="0" quotePrefix="0" xfId="0">
      <alignment vertical="top"/>
    </xf>
    <xf numFmtId="0" fontId="12" fillId="2" borderId="2" applyAlignment="1" pivotButton="0" quotePrefix="0" xfId="0">
      <alignment vertical="center" wrapText="1"/>
    </xf>
    <xf numFmtId="0" fontId="11" fillId="0" borderId="2" applyAlignment="1" pivotButton="0" quotePrefix="0" xfId="0">
      <alignment horizontal="center" vertical="top"/>
    </xf>
    <xf numFmtId="0" fontId="11" fillId="0" borderId="2" applyAlignment="1" pivotButton="0" quotePrefix="0" xfId="0">
      <alignment vertical="top" wrapText="1"/>
    </xf>
    <xf numFmtId="0" fontId="10" fillId="6" borderId="2" applyAlignment="1" pivotButton="0" quotePrefix="0" xfId="0">
      <alignment vertical="top"/>
    </xf>
    <xf numFmtId="0" fontId="10" fillId="5" borderId="2" applyAlignment="1" pivotButton="0" quotePrefix="0" xfId="0">
      <alignment vertical="top"/>
    </xf>
    <xf numFmtId="0" fontId="9" fillId="0" borderId="0" applyAlignment="1" pivotButton="0" quotePrefix="0" xfId="0">
      <alignment vertical="top" wrapText="1"/>
    </xf>
  </cellXfs>
  <cellStyles count="1">
    <cellStyle name="Normal" xfId="0" builtinId="0" hidden="0"/>
  </cellStyles>
  <dxfs count="1">
    <dxf>
      <fill>
        <patternFill patternType="solid">
          <fgColor rgb="00EAF6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Claude</author>
  </authors>
  <commentList>
    <comment ref="E4" authorId="0" shapeId="0">
      <text>
        <t>Each line says what was actually inspected — an endpoint called, a query run on the live database, or a file read — so a status can be challenged on the evidence.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41"/>
  <sheetViews>
    <sheetView workbookViewId="0">
      <pane ySplit="8" topLeftCell="A9" activePane="bottomLeft" state="frozen"/>
      <selection pane="bottomLeft" activeCell="A1" sqref="A1"/>
    </sheetView>
  </sheetViews>
  <sheetFormatPr baseColWidth="8" defaultRowHeight="15"/>
  <cols>
    <col width="5" customWidth="1" min="1" max="1"/>
    <col width="46" customWidth="1" min="2" max="2"/>
    <col width="14" customWidth="1" min="3" max="3"/>
    <col width="72" customWidth="1" min="4" max="4"/>
    <col width="24" customWidth="1" min="5" max="5"/>
  </cols>
  <sheetData>
    <row r="1">
      <c r="A1" s="28" t="inlineStr">
        <is>
          <t>Agentic PMS — the 31 points, completed or pending</t>
        </is>
      </c>
    </row>
    <row r="2">
      <c r="A2" s="29" t="inlineStr">
        <is>
          <t>Snapshot of the Tracker tab as it stood on 24 Sep 2026, checked against the code deployed to production (commit ad934fc). 21 completed, 10 pending. The Tracker tab carries the detail and the evidence for each row.</t>
        </is>
      </c>
    </row>
    <row r="4">
      <c r="A4" s="30" t="inlineStr">
        <is>
          <t>Completed</t>
        </is>
      </c>
      <c r="B4" s="31" t="n">
        <v>21</v>
      </c>
      <c r="C4" s="32" t="n"/>
      <c r="D4" s="32" t="n"/>
      <c r="E4" s="32" t="n"/>
    </row>
    <row r="5">
      <c r="A5" s="30" t="inlineStr">
        <is>
          <t>Pending</t>
        </is>
      </c>
      <c r="B5" s="31" t="n">
        <v>10</v>
      </c>
      <c r="C5" s="32" t="n"/>
      <c r="D5" s="32" t="n"/>
      <c r="E5" s="32" t="n"/>
    </row>
    <row r="6">
      <c r="A6" s="30" t="inlineStr">
        <is>
          <t>Total</t>
        </is>
      </c>
      <c r="B6" s="31" t="n">
        <v>31</v>
      </c>
      <c r="C6" s="32" t="n"/>
      <c r="D6" s="32" t="n"/>
      <c r="E6" s="32" t="n"/>
    </row>
    <row r="8" ht="26" customHeight="1">
      <c r="A8" s="33" t="inlineStr">
        <is>
          <t>#</t>
        </is>
      </c>
      <c r="B8" s="33" t="inlineStr">
        <is>
          <t>Point</t>
        </is>
      </c>
      <c r="C8" s="33" t="inlineStr">
        <is>
          <t>Status</t>
        </is>
      </c>
      <c r="D8" s="33" t="inlineStr">
        <is>
          <t>If pending, what it is waiting on</t>
        </is>
      </c>
      <c r="E8" s="33" t="inlineStr">
        <is>
          <t>Waiting on</t>
        </is>
      </c>
    </row>
    <row r="9" ht="40" customHeight="1">
      <c r="A9" s="34" t="n">
        <v>1</v>
      </c>
      <c r="B9" s="35" t="inlineStr">
        <is>
          <t>Approved goals: remove the edit lock</t>
        </is>
      </c>
      <c r="C9" s="36" t="inlineStr">
        <is>
          <t>Pending</t>
        </is>
      </c>
      <c r="D9" s="35" t="inlineStr">
        <is>
          <t>Decide: should an approved growth plan be directly editable, or keep 'ask your manager to return it'?</t>
        </is>
      </c>
      <c r="E9" s="35" t="inlineStr">
        <is>
          <t>Mindgate — decision</t>
        </is>
      </c>
    </row>
    <row r="10" ht="40" customHeight="1">
      <c r="A10" s="34" t="n">
        <v>2</v>
      </c>
      <c r="B10" s="35" t="inlineStr">
        <is>
          <t>Department dropdown for KRA setup</t>
        </is>
      </c>
      <c r="C10" s="36" t="inlineStr">
        <is>
          <t>Pending</t>
        </is>
      </c>
      <c r="D10" s="35" t="inlineStr">
        <is>
          <t>Add a Department value to the library rows and re-publish the sheet.</t>
        </is>
      </c>
      <c r="E10" s="35" t="inlineStr">
        <is>
          <t>Mindgate — data</t>
        </is>
      </c>
    </row>
    <row r="11" ht="40" customHeight="1">
      <c r="A11" s="34" t="n">
        <v>4</v>
      </c>
      <c r="B11" s="35" t="inlineStr">
        <is>
          <t>KRA unique ID</t>
        </is>
      </c>
      <c r="C11" s="36" t="inlineStr">
        <is>
          <t>Pending</t>
        </is>
      </c>
      <c r="D11" s="35" t="inlineStr">
        <is>
          <t>Answer: (a) format, e.g. SALES-SM-001; (b) unique per library row or per assigned KRA; (c) does the ID change when the KRA is edited or re-mapped; (d) what happens to the 2,155 rows already loaded.</t>
        </is>
      </c>
      <c r="E11" s="35" t="inlineStr">
        <is>
          <t>Mindgate — decision</t>
        </is>
      </c>
    </row>
    <row r="12" ht="40" customHeight="1">
      <c r="A12" s="34" t="n">
        <v>5</v>
      </c>
      <c r="B12" s="35" t="inlineStr">
        <is>
          <t>Google Meet integration</t>
        </is>
      </c>
      <c r="C12" s="36" t="inlineStr">
        <is>
          <t>Pending</t>
        </is>
      </c>
      <c r="D12" s="35" t="inlineStr">
        <is>
          <t>Provide Google OAuth client ID and secret for the workspace.</t>
        </is>
      </c>
      <c r="E12" s="35" t="inlineStr">
        <is>
          <t>Mindgate — credentials</t>
        </is>
      </c>
    </row>
    <row r="13" ht="40" customHeight="1">
      <c r="A13" s="34" t="n">
        <v>7</v>
      </c>
      <c r="B13" s="35" t="inlineStr">
        <is>
          <t>RM approval issue</t>
        </is>
      </c>
      <c r="C13" s="36" t="inlineStr">
        <is>
          <t>Pending</t>
        </is>
      </c>
      <c r="D13" s="35" t="inlineStr">
        <is>
          <t>Comes free with point 22.</t>
        </is>
      </c>
      <c r="E13" s="35" t="inlineStr">
        <is>
          <t>Mindgate — accounts</t>
        </is>
      </c>
    </row>
    <row r="14" ht="40" customHeight="1">
      <c r="A14" s="34" t="n">
        <v>12</v>
      </c>
      <c r="B14" s="35" t="inlineStr">
        <is>
          <t>KRA synchronisation</t>
        </is>
      </c>
      <c r="C14" s="36" t="inlineStr">
        <is>
          <t>Pending</t>
        </is>
      </c>
      <c r="D14" s="35" t="inlineStr">
        <is>
          <t>Same as point 2.</t>
        </is>
      </c>
      <c r="E14" s="35" t="inlineStr">
        <is>
          <t>Mindgate — data</t>
        </is>
      </c>
    </row>
    <row r="15" ht="40" customHeight="1">
      <c r="A15" s="34" t="n">
        <v>17</v>
      </c>
      <c r="B15" s="35" t="inlineStr">
        <is>
          <t>Quarterly Connect email</t>
        </is>
      </c>
      <c r="C15" s="36" t="inlineStr">
        <is>
          <t>Pending</t>
        </is>
      </c>
      <c r="D15" s="35" t="inlineStr">
        <is>
          <t>Provide SMTP host, port, user and password.</t>
        </is>
      </c>
      <c r="E15" s="35" t="inlineStr">
        <is>
          <t>Mindgate — credentials</t>
        </is>
      </c>
    </row>
    <row r="16" ht="40" customHeight="1">
      <c r="A16" s="34" t="n">
        <v>22</v>
      </c>
      <c r="B16" s="35" t="inlineStr">
        <is>
          <t>Access setup for testing</t>
        </is>
      </c>
      <c r="C16" s="36" t="inlineStr">
        <is>
          <t>Pending</t>
        </is>
      </c>
      <c r="D16" s="35" t="inlineStr">
        <is>
          <t>Create one employee and one manager login on production. Minutes of work; blocks points 7, 24, 25, 26 being tested by you.</t>
        </is>
      </c>
      <c r="E16" s="35" t="inlineStr">
        <is>
          <t>Us — needs your go-ahead</t>
        </is>
      </c>
    </row>
    <row r="17" ht="40" customHeight="1">
      <c r="A17" s="34" t="n">
        <v>24</v>
      </c>
      <c r="B17" s="35" t="inlineStr">
        <is>
          <t>KRA approval workflow</t>
        </is>
      </c>
      <c r="C17" s="36" t="inlineStr">
        <is>
          <t>Pending</t>
        </is>
      </c>
      <c r="D17" s="35" t="inlineStr">
        <is>
          <t>Decide whether a manager may edit a report's KRA sheet during review. If yes, we add edit + Save &amp; Submit to the manager review card. Half a day.</t>
        </is>
      </c>
      <c r="E17" s="35" t="inlineStr">
        <is>
          <t>Us</t>
        </is>
      </c>
    </row>
    <row r="18" ht="40" customHeight="1">
      <c r="A18" s="34" t="n">
        <v>31</v>
      </c>
      <c r="B18" s="35" t="inlineStr">
        <is>
          <t>Quarterly connect should focus more on confirmation</t>
        </is>
      </c>
      <c r="C18" s="36" t="inlineStr">
        <is>
          <t>Pending</t>
        </is>
      </c>
      <c r="D18" s="35" t="inlineStr">
        <is>
          <t>Tell us what 'more confirmation' means beyond sign-off. Adding pending sign-offs to All Approvals is small and we can do it now.</t>
        </is>
      </c>
      <c r="E18" s="35" t="inlineStr">
        <is>
          <t>Mindgate — clarify</t>
        </is>
      </c>
    </row>
    <row r="19" ht="16" customHeight="1">
      <c r="A19" s="34" t="n">
        <v>3</v>
      </c>
      <c r="B19" s="35" t="inlineStr">
        <is>
          <t>Associate the growth path after the KRA</t>
        </is>
      </c>
      <c r="C19" s="37" t="inlineStr">
        <is>
          <t>Completed</t>
        </is>
      </c>
      <c r="D19" s="35" t="inlineStr"/>
      <c r="E19" s="35" t="inlineStr"/>
    </row>
    <row r="20" ht="16" customHeight="1">
      <c r="A20" s="34" t="n">
        <v>6</v>
      </c>
      <c r="B20" s="35" t="inlineStr">
        <is>
          <t>KRAs always open + new-hire auto-assign</t>
        </is>
      </c>
      <c r="C20" s="37" t="inlineStr">
        <is>
          <t>Completed</t>
        </is>
      </c>
      <c r="D20" s="35" t="inlineStr"/>
      <c r="E20" s="35" t="inlineStr"/>
    </row>
    <row r="21" ht="16" customHeight="1">
      <c r="A21" s="34" t="n">
        <v>8</v>
      </c>
      <c r="B21" s="35" t="inlineStr">
        <is>
          <t>ANTHROPIC_API_KEY missing in My Growth</t>
        </is>
      </c>
      <c r="C21" s="37" t="inlineStr">
        <is>
          <t>Completed</t>
        </is>
      </c>
      <c r="D21" s="35" t="inlineStr"/>
      <c r="E21" s="35" t="inlineStr"/>
    </row>
    <row r="22" ht="16" customHeight="1">
      <c r="A22" s="34" t="n">
        <v>9</v>
      </c>
      <c r="B22" s="35" t="inlineStr">
        <is>
          <t>KRA Library editing</t>
        </is>
      </c>
      <c r="C22" s="37" t="inlineStr">
        <is>
          <t>Completed</t>
        </is>
      </c>
      <c r="D22" s="35" t="inlineStr"/>
      <c r="E22" s="35" t="inlineStr"/>
    </row>
    <row r="23" ht="16" customHeight="1">
      <c r="A23" s="34" t="n">
        <v>10</v>
      </c>
      <c r="B23" s="35" t="inlineStr">
        <is>
          <t>Role / department change</t>
        </is>
      </c>
      <c r="C23" s="37" t="inlineStr">
        <is>
          <t>Completed</t>
        </is>
      </c>
      <c r="D23" s="35" t="inlineStr"/>
      <c r="E23" s="35" t="inlineStr"/>
    </row>
    <row r="24" ht="16" customHeight="1">
      <c r="A24" s="34" t="n">
        <v>11</v>
      </c>
      <c r="B24" s="35" t="inlineStr">
        <is>
          <t>'Select all KRAs' in My Growth</t>
        </is>
      </c>
      <c r="C24" s="37" t="inlineStr">
        <is>
          <t>Completed</t>
        </is>
      </c>
      <c r="D24" s="35" t="inlineStr"/>
      <c r="E24" s="35" t="inlineStr"/>
    </row>
    <row r="25" ht="16" customHeight="1">
      <c r="A25" s="34" t="n">
        <v>13</v>
      </c>
      <c r="B25" s="35" t="inlineStr">
        <is>
          <t>Career pathing matrix under Aspiring Career</t>
        </is>
      </c>
      <c r="C25" s="37" t="inlineStr">
        <is>
          <t>Completed</t>
        </is>
      </c>
      <c r="D25" s="35" t="inlineStr"/>
      <c r="E25" s="35" t="inlineStr"/>
    </row>
    <row r="26" ht="16" customHeight="1">
      <c r="A26" s="34" t="n">
        <v>14</v>
      </c>
      <c r="B26" s="35" t="inlineStr">
        <is>
          <t>Career pathing template</t>
        </is>
      </c>
      <c r="C26" s="37" t="inlineStr">
        <is>
          <t>Completed</t>
        </is>
      </c>
      <c r="D26" s="35" t="inlineStr"/>
      <c r="E26" s="35" t="inlineStr"/>
    </row>
    <row r="27" ht="16" customHeight="1">
      <c r="A27" s="34" t="n">
        <v>15</v>
      </c>
      <c r="B27" s="35" t="inlineStr">
        <is>
          <t>Department management</t>
        </is>
      </c>
      <c r="C27" s="37" t="inlineStr">
        <is>
          <t>Completed</t>
        </is>
      </c>
      <c r="D27" s="35" t="inlineStr"/>
      <c r="E27" s="35" t="inlineStr"/>
    </row>
    <row r="28" ht="16" customHeight="1">
      <c r="A28" s="34" t="n">
        <v>16</v>
      </c>
      <c r="B28" s="35" t="inlineStr">
        <is>
          <t>Mid-year self-appraisal</t>
        </is>
      </c>
      <c r="C28" s="37" t="inlineStr">
        <is>
          <t>Completed</t>
        </is>
      </c>
      <c r="D28" s="35" t="inlineStr"/>
      <c r="E28" s="35" t="inlineStr"/>
    </row>
    <row r="29" ht="16" customHeight="1">
      <c r="A29" s="34" t="n">
        <v>18</v>
      </c>
      <c r="B29" s="35" t="inlineStr">
        <is>
          <t>Rename Self-Appraisal to Annual Review</t>
        </is>
      </c>
      <c r="C29" s="37" t="inlineStr">
        <is>
          <t>Completed</t>
        </is>
      </c>
      <c r="D29" s="35" t="inlineStr"/>
      <c r="E29" s="35" t="inlineStr"/>
    </row>
    <row r="30" ht="16" customHeight="1">
      <c r="A30" s="34" t="n">
        <v>19</v>
      </c>
      <c r="B30" s="35" t="inlineStr">
        <is>
          <t>Rename Annual Review to Final Rating</t>
        </is>
      </c>
      <c r="C30" s="37" t="inlineStr">
        <is>
          <t>Completed</t>
        </is>
      </c>
      <c r="D30" s="35" t="inlineStr"/>
      <c r="E30" s="35" t="inlineStr"/>
    </row>
    <row r="31" ht="16" customHeight="1">
      <c r="A31" s="34" t="n">
        <v>20</v>
      </c>
      <c r="B31" s="35" t="inlineStr">
        <is>
          <t>Manager rating visibility</t>
        </is>
      </c>
      <c r="C31" s="37" t="inlineStr">
        <is>
          <t>Completed</t>
        </is>
      </c>
      <c r="D31" s="35" t="inlineStr"/>
      <c r="E31" s="35" t="inlineStr"/>
    </row>
    <row r="32" ht="16" customHeight="1">
      <c r="A32" s="34" t="n">
        <v>21</v>
      </c>
      <c r="B32" s="35" t="inlineStr">
        <is>
          <t>Final rating publishing rights</t>
        </is>
      </c>
      <c r="C32" s="37" t="inlineStr">
        <is>
          <t>Completed</t>
        </is>
      </c>
      <c r="D32" s="35" t="inlineStr"/>
      <c r="E32" s="35" t="inlineStr"/>
    </row>
    <row r="33" ht="16" customHeight="1">
      <c r="A33" s="34" t="n">
        <v>23</v>
      </c>
      <c r="B33" s="35" t="inlineStr">
        <is>
          <t>Global search and approval buttons</t>
        </is>
      </c>
      <c r="C33" s="37" t="inlineStr">
        <is>
          <t>Completed</t>
        </is>
      </c>
      <c r="D33" s="35" t="inlineStr"/>
      <c r="E33" s="35" t="inlineStr"/>
    </row>
    <row r="34" ht="16" customHeight="1">
      <c r="A34" s="34" t="n">
        <v>25</v>
      </c>
      <c r="B34" s="35" t="inlineStr">
        <is>
          <t>Role-based views</t>
        </is>
      </c>
      <c r="C34" s="37" t="inlineStr">
        <is>
          <t>Completed</t>
        </is>
      </c>
      <c r="D34" s="35" t="inlineStr"/>
      <c r="E34" s="35" t="inlineStr"/>
    </row>
    <row r="35" ht="16" customHeight="1">
      <c r="A35" s="34" t="n">
        <v>26</v>
      </c>
      <c r="B35" s="35" t="inlineStr">
        <is>
          <t>Manager dashboard tracking</t>
        </is>
      </c>
      <c r="C35" s="37" t="inlineStr">
        <is>
          <t>Completed</t>
        </is>
      </c>
      <c r="D35" s="35" t="inlineStr"/>
      <c r="E35" s="35" t="inlineStr"/>
    </row>
    <row r="36" ht="16" customHeight="1">
      <c r="A36" s="34" t="n">
        <v>27</v>
      </c>
      <c r="B36" s="35" t="inlineStr">
        <is>
          <t>Analytics dashboard on login</t>
        </is>
      </c>
      <c r="C36" s="37" t="inlineStr">
        <is>
          <t>Completed</t>
        </is>
      </c>
      <c r="D36" s="35" t="inlineStr"/>
      <c r="E36" s="35" t="inlineStr"/>
    </row>
    <row r="37" ht="16" customHeight="1">
      <c r="A37" s="34" t="n">
        <v>28</v>
      </c>
      <c r="B37" s="35" t="inlineStr">
        <is>
          <t>UI does not match the shared screens</t>
        </is>
      </c>
      <c r="C37" s="37" t="inlineStr">
        <is>
          <t>Completed</t>
        </is>
      </c>
      <c r="D37" s="35" t="inlineStr"/>
      <c r="E37" s="35" t="inlineStr"/>
    </row>
    <row r="38" ht="16" customHeight="1">
      <c r="A38" s="34" t="n">
        <v>29</v>
      </c>
      <c r="B38" s="35" t="inlineStr">
        <is>
          <t>Current designation in the growth section</t>
        </is>
      </c>
      <c r="C38" s="37" t="inlineStr">
        <is>
          <t>Completed</t>
        </is>
      </c>
      <c r="D38" s="35" t="inlineStr"/>
      <c r="E38" s="35" t="inlineStr"/>
    </row>
    <row r="39" ht="16" customHeight="1">
      <c r="A39" s="34" t="n">
        <v>30</v>
      </c>
      <c r="B39" s="35" t="inlineStr">
        <is>
          <t>Potential rating + mid-year checkpoint</t>
        </is>
      </c>
      <c r="C39" s="37" t="inlineStr">
        <is>
          <t>Completed</t>
        </is>
      </c>
      <c r="D39" s="35" t="inlineStr"/>
      <c r="E39" s="35" t="inlineStr"/>
    </row>
    <row r="41" ht="28" customHeight="1">
      <c r="A41" s="38" t="inlineStr">
        <is>
          <t>Point 20 counts as completed but needs a word from you: the answer changed on 23 Sep when the manager's mid-year rating came off the employee's own page, so it is now hidden even after publish. See the Tracker tab.</t>
        </is>
      </c>
    </row>
  </sheetData>
  <mergeCells count="3">
    <mergeCell ref="A2:E2"/>
    <mergeCell ref="A1:E1"/>
    <mergeCell ref="A41:E4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4" customWidth="1" min="2" max="2"/>
    <col width="46" customWidth="1" min="3" max="3"/>
    <col width="18" customWidth="1" min="4" max="4"/>
    <col width="74" customWidth="1" min="5" max="5"/>
    <col width="22" customWidth="1" min="6" max="6"/>
    <col width="62" customWidth="1" min="7" max="7"/>
    <col width="9" customWidth="1" min="8" max="8"/>
    <col width="16" customWidth="1" min="9" max="9"/>
    <col width="13" customWidth="1" min="10" max="10"/>
    <col width="8" customWidth="1" min="11" max="11"/>
    <col width="30" customWidth="1" min="12" max="12"/>
  </cols>
  <sheetData>
    <row r="1">
      <c r="A1" s="1" t="inlineStr">
        <is>
          <t>Agentic PMS — 31-point tracker</t>
        </is>
      </c>
    </row>
    <row r="2">
      <c r="A2" s="2" t="inlineStr">
        <is>
          <t>Status checked against the code deployed to production (commit ad934fc) on 24 Sep 2026. The three data-dependent rows (2/12, 13, 22) are as last measured on the live box on 23 Sep — the instance is stopped at your request, so they were not re-probed. Columns I to L are yours to fill in; everything left of them is the check.</t>
        </is>
      </c>
    </row>
    <row r="4" ht="30" customHeight="1">
      <c r="A4" s="3" t="inlineStr">
        <is>
          <t>#</t>
        </is>
      </c>
      <c r="B4" s="3" t="inlineStr">
        <is>
          <t>Point</t>
        </is>
      </c>
      <c r="C4" s="3" t="inlineStr">
        <is>
          <t>What was asked</t>
        </is>
      </c>
      <c r="D4" s="3" t="inlineStr">
        <is>
          <t>Status</t>
        </is>
      </c>
      <c r="E4" s="3" t="inlineStr">
        <is>
          <t>Where it stands (checked 24 Sep 2026)</t>
        </is>
      </c>
      <c r="F4" s="3" t="inlineStr">
        <is>
          <t>Owner</t>
        </is>
      </c>
      <c r="G4" s="3" t="inlineStr">
        <is>
          <t>Next action</t>
        </is>
      </c>
      <c r="H4" s="3" t="inlineStr">
        <is>
          <t>Suggested order</t>
        </is>
      </c>
      <c r="I4" s="3" t="inlineStr">
        <is>
          <t>Assigned to</t>
        </is>
      </c>
      <c r="J4" s="3" t="inlineStr">
        <is>
          <t>Target date</t>
        </is>
      </c>
      <c r="K4" s="3" t="inlineStr">
        <is>
          <t>Done?</t>
        </is>
      </c>
      <c r="L4" s="3" t="inlineStr">
        <is>
          <t>Notes</t>
        </is>
      </c>
    </row>
    <row r="5" ht="58" customHeight="1">
      <c r="A5" s="4" t="n">
        <v>1</v>
      </c>
      <c r="B5" s="5" t="inlineStr">
        <is>
          <t>Approved goals: remove the edit lock</t>
        </is>
      </c>
      <c r="C5" s="5" t="inlineStr">
        <is>
          <t>Editing is restricted unexpectedly when the cycle moves to the next phase.</t>
        </is>
      </c>
      <c r="D5" s="6" t="inlineStr">
        <is>
          <t>Partly done</t>
        </is>
      </c>
      <c r="E5" s="5" t="inlineStr">
        <is>
          <t>Phase lock IS removed: growthEditable() allows edits up to Calibration, and a RETURNED plan is editable in any phase. An APPROVED plan stays locked by design.</t>
        </is>
      </c>
      <c r="F5" s="7" t="inlineStr">
        <is>
          <t>Mindgate — decision</t>
        </is>
      </c>
      <c r="G5" s="5" t="inlineStr">
        <is>
          <t>Decide: should an approved growth plan be directly editable, or keep 'ask your manager to return it'?</t>
        </is>
      </c>
      <c r="H5" s="4" t="n">
        <v>3</v>
      </c>
      <c r="I5" s="7" t="inlineStr"/>
      <c r="J5" s="7" t="inlineStr"/>
      <c r="K5" s="4" t="inlineStr"/>
      <c r="L5" s="5" t="inlineStr"/>
    </row>
    <row r="6" ht="58" customHeight="1">
      <c r="A6" s="8" t="n">
        <v>2</v>
      </c>
      <c r="B6" s="9" t="inlineStr">
        <is>
          <t>Department dropdown for KRA setup</t>
        </is>
      </c>
      <c r="C6" s="9" t="inlineStr">
        <is>
          <t>Add a department selection dropdown to resolve designation bottlenecks.</t>
        </is>
      </c>
      <c r="D6" s="6" t="inlineStr">
        <is>
          <t>Blocked on data</t>
        </is>
      </c>
      <c r="E6" s="9" t="inlineStr">
        <is>
          <t>Built: the KRA library is keyed on department + designation and the page has an 'All departments' filter. Live data: 0 of 2,155 library rows carry a department.</t>
        </is>
      </c>
      <c r="F6" s="10" t="inlineStr">
        <is>
          <t>Mindgate — data</t>
        </is>
      </c>
      <c r="G6" s="9" t="inlineStr">
        <is>
          <t>Add a Department value to the library rows and re-publish the sheet.</t>
        </is>
      </c>
      <c r="H6" s="8" t="n">
        <v>4</v>
      </c>
      <c r="I6" s="10" t="inlineStr"/>
      <c r="J6" s="10" t="inlineStr"/>
      <c r="K6" s="8" t="inlineStr"/>
      <c r="L6" s="9" t="inlineStr"/>
    </row>
    <row r="7" ht="58" customHeight="1">
      <c r="A7" s="4" t="n">
        <v>3</v>
      </c>
      <c r="B7" s="5" t="inlineStr">
        <is>
          <t>Associate the growth path after the KRA</t>
        </is>
      </c>
      <c r="C7" s="5" t="inlineStr">
        <is>
          <t>Review changes: growth path should follow the KRA.</t>
        </is>
      </c>
      <c r="D7" s="11" t="inlineStr">
        <is>
          <t>Done</t>
        </is>
      </c>
      <c r="E7" s="5" t="inlineStr">
        <is>
          <t>kra-goal-sync reopens the growth plan when the KRA set changes and relinks goals to KRAs by title. Shipped and live.</t>
        </is>
      </c>
      <c r="F7" s="7" t="inlineStr">
        <is>
          <t>—</t>
        </is>
      </c>
      <c r="G7" s="5" t="inlineStr">
        <is>
          <t>None.</t>
        </is>
      </c>
      <c r="H7" s="4" t="n"/>
      <c r="I7" s="7" t="inlineStr"/>
      <c r="J7" s="7" t="inlineStr"/>
      <c r="K7" s="4" t="inlineStr"/>
      <c r="L7" s="5" t="inlineStr"/>
    </row>
    <row r="8" ht="58" customHeight="1">
      <c r="A8" s="8" t="n">
        <v>4</v>
      </c>
      <c r="B8" s="9" t="inlineStr">
        <is>
          <t>KRA unique ID</t>
        </is>
      </c>
      <c r="C8" s="9" t="inlineStr">
        <is>
          <t>Assign a unique ID to all KRAs based on department and designation.</t>
        </is>
      </c>
      <c r="D8" s="12" t="inlineStr">
        <is>
          <t>Not built</t>
        </is>
      </c>
      <c r="E8" s="9" t="inlineStr">
        <is>
          <t>No ID scheme exists. Needs four answers before any code.</t>
        </is>
      </c>
      <c r="F8" s="10" t="inlineStr">
        <is>
          <t>Mindgate — decision</t>
        </is>
      </c>
      <c r="G8" s="9" t="inlineStr">
        <is>
          <t>Answer: (a) format, e.g. SALES-SM-001; (b) unique per library row or per assigned KRA; (c) does the ID change when the KRA is edited or re-mapped; (d) what happens to the 2,155 rows already loaded.</t>
        </is>
      </c>
      <c r="H8" s="8" t="n">
        <v>6</v>
      </c>
      <c r="I8" s="10" t="inlineStr"/>
      <c r="J8" s="10" t="inlineStr"/>
      <c r="K8" s="8" t="inlineStr"/>
      <c r="L8" s="9" t="inlineStr"/>
    </row>
    <row r="9" ht="58" customHeight="1">
      <c r="A9" s="4" t="n">
        <v>5</v>
      </c>
      <c r="B9" s="5" t="inlineStr">
        <is>
          <t>Google Meet integration</t>
        </is>
      </c>
      <c r="C9" s="5" t="inlineStr">
        <is>
          <t>Configure Google Meet within the system.</t>
        </is>
      </c>
      <c r="D9" s="6" t="inlineStr">
        <is>
          <t>Blocked on credentials</t>
        </is>
      </c>
      <c r="E9" s="5" t="inlineStr">
        <is>
          <t>Code and UI are in place; the connect page says 'Google Meet is not connected on this instance yet'. No Google OAuth credentials in /etc/agentic-pms/api.env.</t>
        </is>
      </c>
      <c r="F9" s="7" t="inlineStr">
        <is>
          <t>Mindgate — credentials</t>
        </is>
      </c>
      <c r="G9" s="5" t="inlineStr">
        <is>
          <t>Provide Google OAuth client ID and secret for the workspace.</t>
        </is>
      </c>
      <c r="H9" s="4" t="n"/>
      <c r="I9" s="7" t="inlineStr"/>
      <c r="J9" s="7" t="inlineStr"/>
      <c r="K9" s="4" t="inlineStr"/>
      <c r="L9" s="5" t="inlineStr"/>
    </row>
    <row r="10" ht="58" customHeight="1">
      <c r="A10" s="8" t="n">
        <v>6</v>
      </c>
      <c r="B10" s="9" t="inlineStr">
        <is>
          <t>KRAs always open + new-hire auto-assign</t>
        </is>
      </c>
      <c r="C10" s="9" t="inlineStr">
        <is>
          <t>Keep KRAs open for everyone, not tied to a cycle. New hires get KRAs on joining; manager approval still required.</t>
        </is>
      </c>
      <c r="D10" s="11" t="inlineStr">
        <is>
          <t>Done</t>
        </is>
      </c>
      <c r="E10" s="9" t="inlineStr">
        <is>
          <t>KRA edit is allowed in every phase except draft/closed. New hires are assigned their department+designation shelf at import; sheets land in draft for the employee, approval unchanged. Live.</t>
        </is>
      </c>
      <c r="F10" s="10" t="inlineStr">
        <is>
          <t>—</t>
        </is>
      </c>
      <c r="G10" s="9" t="inlineStr">
        <is>
          <t>None.</t>
        </is>
      </c>
      <c r="H10" s="8" t="n"/>
      <c r="I10" s="10" t="inlineStr"/>
      <c r="J10" s="10" t="inlineStr"/>
      <c r="K10" s="8" t="inlineStr"/>
      <c r="L10" s="9" t="inlineStr"/>
    </row>
    <row r="11" ht="58" customHeight="1">
      <c r="A11" s="4" t="n">
        <v>7</v>
      </c>
      <c r="B11" s="5" t="inlineStr">
        <is>
          <t>RM approval issue</t>
        </is>
      </c>
      <c r="C11" s="5" t="inlineStr">
        <is>
          <t>Reporting Managers cannot approve KRAs.</t>
        </is>
      </c>
      <c r="D11" s="6" t="inlineStr">
        <is>
          <t>Blocked on accounts</t>
        </is>
      </c>
      <c r="E11" s="5" t="inlineStr">
        <is>
          <t>The approve path works: All Approvals currently lists sheets waiting on named managers, and the decide endpoint is covered by tests. But 0 of your 239 managers has a password, so no RM can sign in to try it.</t>
        </is>
      </c>
      <c r="F11" s="7" t="inlineStr">
        <is>
          <t>Mindgate — accounts</t>
        </is>
      </c>
      <c r="G11" s="5" t="inlineStr">
        <is>
          <t>Comes free with point 22.</t>
        </is>
      </c>
      <c r="H11" s="4" t="n"/>
      <c r="I11" s="7" t="inlineStr"/>
      <c r="J11" s="7" t="inlineStr"/>
      <c r="K11" s="4" t="inlineStr"/>
      <c r="L11" s="5" t="inlineStr"/>
    </row>
    <row r="12" ht="58" customHeight="1">
      <c r="A12" s="8" t="n">
        <v>8</v>
      </c>
      <c r="B12" s="9" t="inlineStr">
        <is>
          <t>ANTHROPIC_API_KEY missing in My Growth</t>
        </is>
      </c>
      <c r="C12" s="9" t="inlineStr">
        <is>
          <t>Agentic features not configured on this instance.</t>
        </is>
      </c>
      <c r="D12" s="11" t="inlineStr">
        <is>
          <t>Done</t>
        </is>
      </c>
      <c r="E12" s="9" t="inlineStr">
        <is>
          <t>Key is present on the box, and POST /agentic/devplan-suggest returned 200 with a real draft on production on 23 Sep.</t>
        </is>
      </c>
      <c r="F12" s="10" t="inlineStr">
        <is>
          <t>—</t>
        </is>
      </c>
      <c r="G12" s="9" t="inlineStr">
        <is>
          <t>Separate issue: this key has never been rotated. Rotate it.</t>
        </is>
      </c>
      <c r="H12" s="8" t="n">
        <v>1</v>
      </c>
      <c r="I12" s="10" t="inlineStr"/>
      <c r="J12" s="10" t="inlineStr"/>
      <c r="K12" s="8" t="inlineStr"/>
      <c r="L12" s="9" t="inlineStr"/>
    </row>
    <row r="13" ht="58" customHeight="1">
      <c r="A13" s="4" t="n">
        <v>9</v>
      </c>
      <c r="B13" s="5" t="inlineStr">
        <is>
          <t>KRA Library editing</t>
        </is>
      </c>
      <c r="C13" s="5" t="inlineStr">
        <is>
          <t>HR should edit the library directly during reviews with the DH or RM.</t>
        </is>
      </c>
      <c r="D13" s="11" t="inlineStr">
        <is>
          <t>Done</t>
        </is>
      </c>
      <c r="E13" s="5" t="inlineStr">
        <is>
          <t>Per-entry edit endpoint and UI on the KRA Library page. Live.</t>
        </is>
      </c>
      <c r="F13" s="7" t="inlineStr">
        <is>
          <t>—</t>
        </is>
      </c>
      <c r="G13" s="5" t="inlineStr">
        <is>
          <t>None.</t>
        </is>
      </c>
      <c r="H13" s="4" t="n"/>
      <c r="I13" s="7" t="inlineStr"/>
      <c r="J13" s="7" t="inlineStr"/>
      <c r="K13" s="4" t="inlineStr"/>
      <c r="L13" s="5" t="inlineStr"/>
    </row>
    <row r="14" ht="58" customHeight="1">
      <c r="A14" s="8" t="n">
        <v>10</v>
      </c>
      <c r="B14" s="9" t="inlineStr">
        <is>
          <t>Role / department change</t>
        </is>
      </c>
      <c r="C14" s="9" t="inlineStr">
        <is>
          <t>Enable KRA editing for HR and re-route approval to the new RM.</t>
        </is>
      </c>
      <c r="D14" s="11" t="inlineStr">
        <is>
          <t>Done</t>
        </is>
      </c>
      <c r="E14" s="9" t="inlineStr">
        <is>
          <t>profile-change reopens the sheet and plan with reopened_reason='profile_change'; the approver is read live from the employee record, so approval follows the new manager automatically.</t>
        </is>
      </c>
      <c r="F14" s="10" t="inlineStr">
        <is>
          <t>—</t>
        </is>
      </c>
      <c r="G14" s="9" t="inlineStr">
        <is>
          <t>None.</t>
        </is>
      </c>
      <c r="H14" s="8" t="n"/>
      <c r="I14" s="10" t="inlineStr"/>
      <c r="J14" s="10" t="inlineStr"/>
      <c r="K14" s="8" t="inlineStr"/>
      <c r="L14" s="9" t="inlineStr"/>
    </row>
    <row r="15" ht="58" customHeight="1">
      <c r="A15" s="4" t="n">
        <v>11</v>
      </c>
      <c r="B15" s="5" t="inlineStr">
        <is>
          <t>'Select all KRAs' in My Growth</t>
        </is>
      </c>
      <c r="C15" s="5" t="inlineStr">
        <is>
          <t>Add a select-all option.</t>
        </is>
      </c>
      <c r="D15" s="11" t="inlineStr">
        <is>
          <t>Done</t>
        </is>
      </c>
      <c r="E15" s="5" t="inlineStr">
        <is>
          <t>'Select all N' in the KRA library picker and in the AI draft panel on My Growth.</t>
        </is>
      </c>
      <c r="F15" s="7" t="inlineStr">
        <is>
          <t>—</t>
        </is>
      </c>
      <c r="G15" s="5" t="inlineStr">
        <is>
          <t>None.</t>
        </is>
      </c>
      <c r="H15" s="4" t="n"/>
      <c r="I15" s="7" t="inlineStr"/>
      <c r="J15" s="7" t="inlineStr"/>
      <c r="K15" s="4" t="inlineStr"/>
      <c r="L15" s="5" t="inlineStr"/>
    </row>
    <row r="16" ht="58" customHeight="1">
      <c r="A16" s="8" t="n">
        <v>12</v>
      </c>
      <c r="B16" s="9" t="inlineStr">
        <is>
          <t>KRA synchronisation</t>
        </is>
      </c>
      <c r="C16" s="9" t="inlineStr">
        <is>
          <t>Mapping is inaccurate against designation and department.</t>
        </is>
      </c>
      <c r="D16" s="6" t="inlineStr">
        <is>
          <t>Blocked on data</t>
        </is>
      </c>
      <c r="E16" s="9" t="inlineStr">
        <is>
          <t>Matching is department + designation first, then a company-wide fallback — never both. With 0 departments in the library it can only ever match on designation.</t>
        </is>
      </c>
      <c r="F16" s="10" t="inlineStr">
        <is>
          <t>Mindgate — data</t>
        </is>
      </c>
      <c r="G16" s="9" t="inlineStr">
        <is>
          <t>Same as point 2.</t>
        </is>
      </c>
      <c r="H16" s="8" t="n">
        <v>4</v>
      </c>
      <c r="I16" s="10" t="inlineStr"/>
      <c r="J16" s="10" t="inlineStr"/>
      <c r="K16" s="8" t="inlineStr"/>
      <c r="L16" s="9" t="inlineStr"/>
    </row>
    <row r="17" ht="58" customHeight="1">
      <c r="A17" s="4" t="n">
        <v>13</v>
      </c>
      <c r="B17" s="5" t="inlineStr">
        <is>
          <t>Career pathing matrix under Aspiring Career</t>
        </is>
      </c>
      <c r="C17" s="5" t="inlineStr">
        <is>
          <t>Configure the matrix.</t>
        </is>
      </c>
      <c r="D17" s="11" t="inlineStr">
        <is>
          <t>Done</t>
        </is>
      </c>
      <c r="E17" s="5" t="inlineStr">
        <is>
          <t>Aspiring Career limits the target role to transitions HR configured in the Career Pathing Matrix, and says so when none is configured.</t>
        </is>
      </c>
      <c r="F17" s="7" t="inlineStr">
        <is>
          <t>—</t>
        </is>
      </c>
      <c r="G17" s="5" t="inlineStr">
        <is>
          <t>Matrix is currently empty on live — HR needs to define transitions.</t>
        </is>
      </c>
      <c r="H17" s="4" t="n">
        <v>5</v>
      </c>
      <c r="I17" s="7" t="inlineStr"/>
      <c r="J17" s="7" t="inlineStr"/>
      <c r="K17" s="4" t="inlineStr"/>
      <c r="L17" s="5" t="inlineStr"/>
    </row>
    <row r="18" ht="58" customHeight="1">
      <c r="A18" s="8" t="n">
        <v>14</v>
      </c>
      <c r="B18" s="9" t="inlineStr">
        <is>
          <t>Career pathing template</t>
        </is>
      </c>
      <c r="C18" s="9" t="inlineStr">
        <is>
          <t>Provide the template.</t>
        </is>
      </c>
      <c r="D18" s="11" t="inlineStr">
        <is>
          <t>Done</t>
        </is>
      </c>
      <c r="E18" s="9" t="inlineStr">
        <is>
          <t>Download template (.xlsx) and (.csv) buttons on the Career Pathing Matrix page.</t>
        </is>
      </c>
      <c r="F18" s="10" t="inlineStr">
        <is>
          <t>—</t>
        </is>
      </c>
      <c r="G18" s="9" t="inlineStr">
        <is>
          <t>None.</t>
        </is>
      </c>
      <c r="H18" s="8" t="n"/>
      <c r="I18" s="10" t="inlineStr"/>
      <c r="J18" s="10" t="inlineStr"/>
      <c r="K18" s="8" t="inlineStr"/>
      <c r="L18" s="9" t="inlineStr"/>
    </row>
    <row r="19" ht="58" customHeight="1">
      <c r="A19" s="4" t="n">
        <v>15</v>
      </c>
      <c r="B19" s="5" t="inlineStr">
        <is>
          <t>Department management</t>
        </is>
      </c>
      <c r="C19" s="5" t="inlineStr">
        <is>
          <t>Department Heads should add and remove departments.</t>
        </is>
      </c>
      <c r="D19" s="11" t="inlineStr">
        <is>
          <t>Done</t>
        </is>
      </c>
      <c r="E19" s="5" t="inlineStr">
        <is>
          <t>Add and delete on the Department Heads page.</t>
        </is>
      </c>
      <c r="F19" s="7" t="inlineStr">
        <is>
          <t>—</t>
        </is>
      </c>
      <c r="G19" s="5" t="inlineStr">
        <is>
          <t>None.</t>
        </is>
      </c>
      <c r="H19" s="4" t="n"/>
      <c r="I19" s="7" t="inlineStr"/>
      <c r="J19" s="7" t="inlineStr"/>
      <c r="K19" s="4" t="inlineStr"/>
      <c r="L19" s="5" t="inlineStr"/>
    </row>
    <row r="20" ht="58" customHeight="1">
      <c r="A20" s="8" t="n">
        <v>16</v>
      </c>
      <c r="B20" s="9" t="inlineStr">
        <is>
          <t>Mid-year self-appraisal</t>
        </is>
      </c>
      <c r="C20" s="9" t="inlineStr">
        <is>
          <t>Include self-appraisal in the mid-year review.</t>
        </is>
      </c>
      <c r="D20" s="11" t="inlineStr">
        <is>
          <t>Done</t>
        </is>
      </c>
      <c r="E20" s="9" t="inlineStr">
        <is>
          <t>Mid-year check-in carries a self half and a manager half, submitted separately.</t>
        </is>
      </c>
      <c r="F20" s="10" t="inlineStr">
        <is>
          <t>—</t>
        </is>
      </c>
      <c r="G20" s="9" t="inlineStr">
        <is>
          <t>None.</t>
        </is>
      </c>
      <c r="H20" s="8" t="n"/>
      <c r="I20" s="10" t="inlineStr"/>
      <c r="J20" s="10" t="inlineStr"/>
      <c r="K20" s="8" t="inlineStr"/>
      <c r="L20" s="9" t="inlineStr"/>
    </row>
    <row r="21" ht="58" customHeight="1">
      <c r="A21" s="4" t="n">
        <v>17</v>
      </c>
      <c r="B21" s="5" t="inlineStr">
        <is>
          <t>Quarterly Connect email</t>
        </is>
      </c>
      <c r="C21" s="5" t="inlineStr">
        <is>
          <t>No email configuration for direct meeting scheduling.</t>
        </is>
      </c>
      <c r="D21" s="6" t="inlineStr">
        <is>
          <t>Blocked on credentials</t>
        </is>
      </c>
      <c r="E21" s="5" t="inlineStr">
        <is>
          <t>Meeting link and scheduling UI exist per connect. No SMTP configured on the box.</t>
        </is>
      </c>
      <c r="F21" s="7" t="inlineStr">
        <is>
          <t>Mindgate — credentials</t>
        </is>
      </c>
      <c r="G21" s="5" t="inlineStr">
        <is>
          <t>Provide SMTP host, port, user and password.</t>
        </is>
      </c>
      <c r="H21" s="4" t="n"/>
      <c r="I21" s="7" t="inlineStr"/>
      <c r="J21" s="7" t="inlineStr"/>
      <c r="K21" s="4" t="inlineStr"/>
      <c r="L21" s="5" t="inlineStr"/>
    </row>
    <row r="22" ht="58" customHeight="1">
      <c r="A22" s="8" t="n">
        <v>18</v>
      </c>
      <c r="B22" s="9" t="inlineStr">
        <is>
          <t>Rename Self-Appraisal to Annual Review</t>
        </is>
      </c>
      <c r="C22" s="9" t="inlineStr"/>
      <c r="D22" s="11" t="inlineStr">
        <is>
          <t>Done</t>
        </is>
      </c>
      <c r="E22" s="9" t="inlineStr">
        <is>
          <t>Live. Route unchanged (/my/self-appraisal) so existing links and notifications still work.</t>
        </is>
      </c>
      <c r="F22" s="10" t="inlineStr">
        <is>
          <t>—</t>
        </is>
      </c>
      <c r="G22" s="9" t="inlineStr">
        <is>
          <t>None.</t>
        </is>
      </c>
      <c r="H22" s="8" t="n"/>
      <c r="I22" s="10" t="inlineStr"/>
      <c r="J22" s="10" t="inlineStr"/>
      <c r="K22" s="8" t="inlineStr"/>
      <c r="L22" s="9" t="inlineStr"/>
    </row>
    <row r="23" ht="58" customHeight="1">
      <c r="A23" s="4" t="n">
        <v>19</v>
      </c>
      <c r="B23" s="5" t="inlineStr">
        <is>
          <t>Rename Annual Review to Final Rating</t>
        </is>
      </c>
      <c r="C23" s="5" t="inlineStr">
        <is>
          <t>It presents consolidated ratings.</t>
        </is>
      </c>
      <c r="D23" s="11" t="inlineStr">
        <is>
          <t>Done</t>
        </is>
      </c>
      <c r="E23" s="5" t="inlineStr">
        <is>
          <t>Live. Route unchanged (/my/annual-review).</t>
        </is>
      </c>
      <c r="F23" s="7" t="inlineStr">
        <is>
          <t>—</t>
        </is>
      </c>
      <c r="G23" s="5" t="inlineStr">
        <is>
          <t>None.</t>
        </is>
      </c>
      <c r="H23" s="4" t="n"/>
      <c r="I23" s="7" t="inlineStr"/>
      <c r="J23" s="7" t="inlineStr"/>
      <c r="K23" s="4" t="inlineStr"/>
      <c r="L23" s="5" t="inlineStr"/>
    </row>
    <row r="24" ht="58" customHeight="1">
      <c r="A24" s="8" t="n">
        <v>20</v>
      </c>
      <c r="B24" s="9" t="inlineStr">
        <is>
          <t>Manager rating visibility</t>
        </is>
      </c>
      <c r="C24" s="9" t="inlineStr">
        <is>
          <t>Confirm whether the employee sees the manager's rating, given it changes at DH / management review.</t>
        </is>
      </c>
      <c r="D24" s="11" t="inlineStr">
        <is>
          <t>Done — confirm again</t>
        </is>
      </c>
      <c r="E24" s="9" t="inlineStr">
        <is>
          <t>CHANGED ON 23 SEP at your request ("mid year under my performance still shows Manager reviews also which should ideally not be visible under self mid-year"). The employee now sees NO manager rating anywhere: My Rating still shows only the published final rating, and the manager's mid-year rating and comments have been removed from the employee's own Mid-Year page — including after publish, which is when they used to appear. The record is not deleted; the manager, Delivery Head and HR still see it.</t>
        </is>
      </c>
      <c r="F24" s="10" t="inlineStr">
        <is>
          <t>Mindgate — confirm</t>
        </is>
      </c>
      <c r="G24" s="9" t="inlineStr">
        <is>
          <t>Confirm this is what you want. If the employee should see the manager's mid-year reading once HR publishes, we put it on Final Rating instead — small change.</t>
        </is>
      </c>
      <c r="H24" s="8" t="n">
        <v>7</v>
      </c>
      <c r="I24" s="10" t="inlineStr"/>
      <c r="J24" s="10" t="inlineStr"/>
      <c r="K24" s="8" t="inlineStr"/>
      <c r="L24" s="9" t="inlineStr"/>
    </row>
    <row r="25" ht="58" customHeight="1">
      <c r="A25" s="4" t="n">
        <v>21</v>
      </c>
      <c r="B25" s="5" t="inlineStr">
        <is>
          <t>Final rating publishing rights</t>
        </is>
      </c>
      <c r="C25" s="5" t="inlineStr">
        <is>
          <t>Keep publishing within the cycle for HRBP and ops.</t>
        </is>
      </c>
      <c r="D25" s="11" t="inlineStr">
        <is>
          <t>Done</t>
        </is>
      </c>
      <c r="E25" s="5" t="inlineStr">
        <is>
          <t>Publish is gated on pms_admin, which both HR and admin hold; nobody else can publish.</t>
        </is>
      </c>
      <c r="F25" s="7" t="inlineStr">
        <is>
          <t>—</t>
        </is>
      </c>
      <c r="G25" s="5" t="inlineStr">
        <is>
          <t>None.</t>
        </is>
      </c>
      <c r="H25" s="4" t="n"/>
      <c r="I25" s="7" t="inlineStr"/>
      <c r="J25" s="7" t="inlineStr"/>
      <c r="K25" s="4" t="inlineStr"/>
      <c r="L25" s="5" t="inlineStr"/>
    </row>
    <row r="26" ht="58" customHeight="1">
      <c r="A26" s="8" t="n">
        <v>22</v>
      </c>
      <c r="B26" s="9" t="inlineStr">
        <is>
          <t>Access setup for testing</t>
        </is>
      </c>
      <c r="C26" s="9" t="inlineStr">
        <is>
          <t>One employee and one manager account.</t>
        </is>
      </c>
      <c r="D26" s="12" t="inlineStr">
        <is>
          <t>Not built</t>
        </is>
      </c>
      <c r="E26" s="9" t="inlineStr">
        <is>
          <t>Only hr.admin@mindgate.com has a password. Roles held: 1 admin, 5 hod, 239 manager, 0 hr — but none of the managers can sign in.</t>
        </is>
      </c>
      <c r="F26" s="10" t="inlineStr">
        <is>
          <t>Us — needs your go-ahead</t>
        </is>
      </c>
      <c r="G26" s="9" t="inlineStr">
        <is>
          <t>Create one employee and one manager login on production. Minutes of work; blocks points 7, 24, 25, 26 being tested by you.</t>
        </is>
      </c>
      <c r="H26" s="8" t="n">
        <v>2</v>
      </c>
      <c r="I26" s="10" t="inlineStr"/>
      <c r="J26" s="10" t="inlineStr"/>
      <c r="K26" s="8" t="inlineStr"/>
      <c r="L26" s="9" t="inlineStr"/>
    </row>
    <row r="27" ht="58" customHeight="1">
      <c r="A27" s="4" t="n">
        <v>23</v>
      </c>
      <c r="B27" s="5" t="inlineStr">
        <is>
          <t>Global search and approval buttons</t>
        </is>
      </c>
      <c r="C27" s="5" t="inlineStr">
        <is>
          <t>Add across all relevant screens.</t>
        </is>
      </c>
      <c r="D27" s="11" t="inlineStr">
        <is>
          <t>Done</t>
        </is>
      </c>
      <c r="E27" s="5" t="inlineStr">
        <is>
          <t>Search: the shared control is now on 16 list pages — Team KRA Sheets, Team Evaluation, Team Mid-Year, Team Target Achievements, KRA Library, Calibration, 9-Box, PIP, Super 50, Closure Letters, Completion Report, Department Heads, Increment Simulation, Delivery Head queue, Quarterly Connects and Review Analysis. Approval: All Approvals is live, and since 23 Sep each row opens the record itself before you decide on it.</t>
        </is>
      </c>
      <c r="F27" s="7" t="inlineStr">
        <is>
          <t>—</t>
        </is>
      </c>
      <c r="G27" s="5" t="inlineStr">
        <is>
          <t>None.</t>
        </is>
      </c>
      <c r="H27" s="4" t="n"/>
      <c r="I27" s="7" t="inlineStr"/>
      <c r="J27" s="7" t="inlineStr"/>
      <c r="K27" s="4" t="inlineStr"/>
      <c r="L27" s="5" t="inlineStr"/>
    </row>
    <row r="28" ht="58" customHeight="1">
      <c r="A28" s="8" t="n">
        <v>24</v>
      </c>
      <c r="B28" s="9" t="inlineStr">
        <is>
          <t>KRA approval workflow</t>
        </is>
      </c>
      <c r="C28" s="9" t="inlineStr">
        <is>
          <t>Approved KRA missing from the Approved tab; direct approve when unchanged; Save &amp; Submit when edited.</t>
        </is>
      </c>
      <c r="D28" s="6" t="inlineStr">
        <is>
          <t>Partly done</t>
        </is>
      </c>
      <c r="E28" s="9" t="inlineStr">
        <is>
          <t>DONE: the Approved tab exists (Pending your review / Approved / Returned / Not submitted), and approving an unchanged sheet is one click, on the manager page and on All Approvals. NOT DONE: "Save &amp; Submit when edited" — a MANAGER still cannot edit a report's sheet, only Approve or Return it for the employee to change. HR can edit and submit on someone's behalf from KRA Overview; the manager has no equivalent.</t>
        </is>
      </c>
      <c r="F28" s="10" t="inlineStr">
        <is>
          <t>Us</t>
        </is>
      </c>
      <c r="G28" s="9" t="inlineStr">
        <is>
          <t>Decide whether a manager may edit a report's KRA sheet during review. If yes, we add edit + Save &amp; Submit to the manager review card. Half a day.</t>
        </is>
      </c>
      <c r="H28" s="8" t="n">
        <v>8</v>
      </c>
      <c r="I28" s="10" t="inlineStr"/>
      <c r="J28" s="10" t="inlineStr"/>
      <c r="K28" s="8" t="inlineStr"/>
      <c r="L28" s="9" t="inlineStr"/>
    </row>
    <row r="29" ht="58" customHeight="1">
      <c r="A29" s="4" t="n">
        <v>25</v>
      </c>
      <c r="B29" s="5" t="inlineStr">
        <is>
          <t>Role-based views</t>
        </is>
      </c>
      <c r="C29" s="5" t="inlineStr">
        <is>
          <t>On login show Self, Manager and HR tabs and route accordingly.</t>
        </is>
      </c>
      <c r="D29" s="11" t="inlineStr">
        <is>
          <t>Done</t>
        </is>
      </c>
      <c r="E29" s="5" t="inlineStr">
        <is>
          <t>Live. THREE role tabs, not four: Self for everyone, + Manager for people with reports, + HR for HR and super admin. Engagement and People Hub folded into Self. Which tabs and pages you see is driven by core.page_permission, one row per page, which gates both the menu and a pasted URL — 33 pages: employee 12, manager 18, HR/admin 33.</t>
        </is>
      </c>
      <c r="F29" s="7" t="inlineStr">
        <is>
          <t>—</t>
        </is>
      </c>
      <c r="G29" s="5" t="inlineStr">
        <is>
          <t>None.</t>
        </is>
      </c>
      <c r="H29" s="4" t="n"/>
      <c r="I29" s="7" t="inlineStr"/>
      <c r="J29" s="7" t="inlineStr"/>
      <c r="K29" s="4" t="inlineStr"/>
      <c r="L29" s="5" t="inlineStr"/>
    </row>
    <row r="30" ht="58" customHeight="1">
      <c r="A30" s="8" t="n">
        <v>26</v>
      </c>
      <c r="B30" s="9" t="inlineStr">
        <is>
          <t>Manager dashboard tracking</t>
        </is>
      </c>
      <c r="C30" s="9" t="inlineStr">
        <is>
          <t>Highlight pending vs approved under a tab for managers.</t>
        </is>
      </c>
      <c r="D30" s="11" t="inlineStr">
        <is>
          <t>Done</t>
        </is>
      </c>
      <c r="E30" s="9" t="inlineStr">
        <is>
          <t>Team KRA Sheets has Pending your review / Approved / Returned / Not submitted tabs with live counts. The Home dashboard adds the manager view: evaluations still to write, reports with no connect logged, pending requests split by kind, and Team Overview lists every report against every phase.</t>
        </is>
      </c>
      <c r="F30" s="10" t="inlineStr">
        <is>
          <t>—</t>
        </is>
      </c>
      <c r="G30" s="9" t="inlineStr">
        <is>
          <t>None.</t>
        </is>
      </c>
      <c r="H30" s="8" t="n"/>
      <c r="I30" s="10" t="inlineStr"/>
      <c r="J30" s="10" t="inlineStr"/>
      <c r="K30" s="8" t="inlineStr"/>
      <c r="L30" s="9" t="inlineStr"/>
    </row>
    <row r="31" ht="58" customHeight="1">
      <c r="A31" s="4" t="n">
        <v>27</v>
      </c>
      <c r="B31" s="5" t="inlineStr">
        <is>
          <t>Analytics dashboard on login</t>
        </is>
      </c>
      <c r="C31" s="5" t="inlineStr">
        <is>
          <t>Overview of completed and pending across the company.</t>
        </is>
      </c>
      <c r="D31" s="11" t="inlineStr">
        <is>
          <t>Done</t>
        </is>
      </c>
      <c r="E31" s="5" t="inlineStr">
        <is>
          <t>Shipped 22–23 Sep. Signing in lands on Home, not on My KRAs: a six-card stat strip, one banner naming the single thing waiting on you, desk tiles that only appear when their count is non-zero, "Requested to manager" for employees and "Pending requests" for manager and above, and a blocking-issues line (for example employees with no reporting manager).</t>
        </is>
      </c>
      <c r="F31" s="7" t="inlineStr">
        <is>
          <t>—</t>
        </is>
      </c>
      <c r="G31" s="5" t="inlineStr">
        <is>
          <t>None.</t>
        </is>
      </c>
      <c r="H31" s="4" t="n"/>
      <c r="I31" s="7" t="inlineStr"/>
      <c r="J31" s="7" t="inlineStr"/>
      <c r="K31" s="4" t="inlineStr"/>
      <c r="L31" s="5" t="inlineStr"/>
    </row>
    <row r="32" ht="58" customHeight="1">
      <c r="A32" s="8" t="n">
        <v>28</v>
      </c>
      <c r="B32" s="9" t="inlineStr">
        <is>
          <t>UI does not match the shared screens</t>
        </is>
      </c>
      <c r="C32" s="9" t="inlineStr"/>
      <c r="D32" s="11" t="inlineStr">
        <is>
          <t>Done</t>
        </is>
      </c>
      <c r="E32" s="9" t="inlineStr">
        <is>
          <t>Live. Full product name, coloured page bands, filled stat tiles, role tabs, per-role gating, one shared search control, and the single KRA table (Parameters / KRAs / KPIs / Weightage) on every screen that lists KRAs. The pink accent was replaced with blue on 23 Sep at your request.</t>
        </is>
      </c>
      <c r="F32" s="10" t="inlineStr">
        <is>
          <t>—</t>
        </is>
      </c>
      <c r="G32" s="9" t="inlineStr">
        <is>
          <t>None.</t>
        </is>
      </c>
      <c r="H32" s="8" t="n"/>
      <c r="I32" s="10" t="inlineStr"/>
      <c r="J32" s="10" t="inlineStr"/>
      <c r="K32" s="8" t="inlineStr"/>
      <c r="L32" s="9" t="inlineStr"/>
    </row>
    <row r="33" ht="58" customHeight="1">
      <c r="A33" s="4" t="n">
        <v>29</v>
      </c>
      <c r="B33" s="5" t="inlineStr">
        <is>
          <t>Current designation in the growth section</t>
        </is>
      </c>
      <c r="C33" s="5" t="inlineStr"/>
      <c r="D33" s="11" t="inlineStr">
        <is>
          <t>Done</t>
        </is>
      </c>
      <c r="E33" s="5" t="inlineStr">
        <is>
          <t>Aspiring Career now reads the current designation and department from the employee record and shows them above Target role. Two questions were added at the same time (total years of experience, skills and interests) and the AI readiness verdict is built from them.</t>
        </is>
      </c>
      <c r="F33" s="7" t="inlineStr">
        <is>
          <t>—</t>
        </is>
      </c>
      <c r="G33" s="5" t="inlineStr">
        <is>
          <t>None.</t>
        </is>
      </c>
      <c r="H33" s="4" t="n"/>
      <c r="I33" s="7" t="inlineStr"/>
      <c r="J33" s="7" t="inlineStr"/>
      <c r="K33" s="4" t="inlineStr"/>
      <c r="L33" s="5" t="inlineStr"/>
    </row>
    <row r="34" ht="58" customHeight="1">
      <c r="A34" s="8" t="n">
        <v>30</v>
      </c>
      <c r="B34" s="9" t="inlineStr">
        <is>
          <t>Potential rating + mid-year checkpoint</t>
        </is>
      </c>
      <c r="C34" s="9" t="inlineStr">
        <is>
          <t>Add potential rating to the manager rating column; show the halfway reading as a reference scale that does not count.</t>
        </is>
      </c>
      <c r="D34" s="11" t="inlineStr">
        <is>
          <t>Done</t>
        </is>
      </c>
      <c r="E34" s="9" t="inlineStr">
        <is>
          <t>Potential deployed 23 Sep on the manager's evaluation AND at calibration, kept as two separate values so neither overwrites the other. Mid-year already rates per KRA and is excluded from the final rating.</t>
        </is>
      </c>
      <c r="F34" s="10" t="inlineStr">
        <is>
          <t>—</t>
        </is>
      </c>
      <c r="G34" s="9" t="inlineStr">
        <is>
          <t>None.</t>
        </is>
      </c>
      <c r="H34" s="8" t="n"/>
      <c r="I34" s="10" t="inlineStr"/>
      <c r="J34" s="10" t="inlineStr"/>
      <c r="K34" s="8" t="inlineStr"/>
      <c r="L34" s="9" t="inlineStr"/>
    </row>
    <row r="35" ht="58" customHeight="1">
      <c r="A35" s="4" t="n">
        <v>31</v>
      </c>
      <c r="B35" s="5" t="inlineStr">
        <is>
          <t>Quarterly connect should focus more on confirmation</t>
        </is>
      </c>
      <c r="C35" s="5" t="inlineStr"/>
      <c r="D35" s="6" t="inlineStr">
        <is>
          <t>Needs clarification</t>
        </is>
      </c>
      <c r="E35" s="5" t="inlineStr">
        <is>
          <t>Manager sign-off is fully built: a Sign off action, Signed off / Pending sign-off chips and an 'N awaiting sign-off' count. Pending sign-offs are NOT yet listed in All Approvals.</t>
        </is>
      </c>
      <c r="F35" s="7" t="inlineStr">
        <is>
          <t>Mindgate — clarify</t>
        </is>
      </c>
      <c r="G35" s="5" t="inlineStr">
        <is>
          <t>Tell us what 'more confirmation' means beyond sign-off. Adding pending sign-offs to All Approvals is small and we can do it now.</t>
        </is>
      </c>
      <c r="H35" s="4" t="n">
        <v>5</v>
      </c>
      <c r="I35" s="7" t="inlineStr"/>
      <c r="J35" s="7" t="inlineStr"/>
      <c r="K35" s="4" t="inlineStr"/>
      <c r="L35" s="5" t="inlineStr"/>
    </row>
  </sheetData>
  <autoFilter ref="A4:L35"/>
  <mergeCells count="2">
    <mergeCell ref="A2:L2"/>
    <mergeCell ref="A1:L1"/>
  </mergeCells>
  <conditionalFormatting sqref="A5:L35">
    <cfRule type="expression" priority="1" dxfId="0">
      <formula>$K5="Yes"</formula>
    </cfRule>
  </conditionalFormatting>
  <dataValidations count="1">
    <dataValidation sqref="K5:K35" showDropDown="0" showInputMessage="0" showErrorMessage="0" allowBlank="1" type="list">
      <formula1>"Yes,No,In progress"</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4" customWidth="1" min="1" max="1"/>
    <col width="62" customWidth="1" min="2" max="2"/>
    <col width="60" customWidth="1" min="3" max="3"/>
  </cols>
  <sheetData>
    <row r="1">
      <c r="A1" s="13" t="inlineStr">
        <is>
          <t>Where the 31 points stand</t>
        </is>
      </c>
    </row>
    <row r="2">
      <c r="A2" s="2" t="inlineStr">
        <is>
          <t>Counts are formulas over the Tracker tab, so they follow it as you work. Checked against the deployed code on 24 Sep 2026.</t>
        </is>
      </c>
    </row>
    <row r="4">
      <c r="A4" s="14" t="inlineStr">
        <is>
          <t>Status</t>
        </is>
      </c>
      <c r="B4" s="14" t="inlineStr">
        <is>
          <t>Points</t>
        </is>
      </c>
      <c r="C4" s="14" t="inlineStr">
        <is>
          <t>What it means</t>
        </is>
      </c>
    </row>
    <row r="5">
      <c r="A5" s="15" t="inlineStr">
        <is>
          <t>Done</t>
        </is>
      </c>
      <c r="B5" s="16">
        <f>COUNTIF(Tracker!$D$5:$D$35,"Done*")</f>
        <v/>
      </c>
      <c r="C5" s="16" t="inlineStr">
        <is>
          <t>Shipped and verified on production — nothing to do.</t>
        </is>
      </c>
    </row>
    <row r="6">
      <c r="A6" s="17" t="inlineStr">
        <is>
          <t>Partly done</t>
        </is>
      </c>
      <c r="B6" s="16">
        <f>COUNTIF(Tracker!$D$5:$D$35,A6)</f>
        <v/>
      </c>
      <c r="C6" s="16" t="inlineStr">
        <is>
          <t>Part of the ask is live; the rest is listed in Next action.</t>
        </is>
      </c>
    </row>
    <row r="7">
      <c r="A7" s="17" t="inlineStr">
        <is>
          <t>Blocked on data</t>
        </is>
      </c>
      <c r="B7" s="16">
        <f>COUNTIF(Tracker!$D$5:$D$35,A7)</f>
        <v/>
      </c>
      <c r="C7" s="16" t="inlineStr">
        <is>
          <t>Built, waiting on values only Mindgate can supply.</t>
        </is>
      </c>
    </row>
    <row r="8">
      <c r="A8" s="17" t="inlineStr">
        <is>
          <t>Blocked on credentials</t>
        </is>
      </c>
      <c r="B8" s="16">
        <f>COUNTIF(Tracker!$D$5:$D$35,A8)</f>
        <v/>
      </c>
      <c r="C8" s="16" t="inlineStr">
        <is>
          <t>Built, waiting on SMTP or Google credentials.</t>
        </is>
      </c>
    </row>
    <row r="9">
      <c r="A9" s="17" t="inlineStr">
        <is>
          <t>Blocked on accounts</t>
        </is>
      </c>
      <c r="B9" s="16">
        <f>COUNTIF(Tracker!$D$5:$D$35,A9)</f>
        <v/>
      </c>
      <c r="C9" s="16" t="inlineStr">
        <is>
          <t>Built, cannot be tested until test logins exist.</t>
        </is>
      </c>
    </row>
    <row r="10">
      <c r="A10" s="17" t="inlineStr">
        <is>
          <t>Needs clarification</t>
        </is>
      </c>
      <c r="B10" s="16">
        <f>COUNTIF(Tracker!$D$5:$D$35,A10)</f>
        <v/>
      </c>
      <c r="C10" s="16" t="inlineStr">
        <is>
          <t>We need to know what you mean before building.</t>
        </is>
      </c>
    </row>
    <row r="11">
      <c r="A11" s="18" t="inlineStr">
        <is>
          <t>Not built</t>
        </is>
      </c>
      <c r="B11" s="16">
        <f>COUNTIF(Tracker!$D$5:$D$35,A11)</f>
        <v/>
      </c>
      <c r="C11" s="16" t="inlineStr">
        <is>
          <t>No code for this yet.</t>
        </is>
      </c>
    </row>
    <row r="12">
      <c r="A12" s="19" t="inlineStr">
        <is>
          <t>Total</t>
        </is>
      </c>
      <c r="B12" s="19">
        <f>COUNTA(Tracker!$A$5:$A$35)</f>
        <v/>
      </c>
      <c r="C12" s="20" t="n"/>
    </row>
    <row r="14">
      <c r="A14" s="21" t="inlineStr">
        <is>
          <t>Marked Yes by you</t>
        </is>
      </c>
      <c r="B14" s="22">
        <f>COUNTIF(Tracker!$K$5:$K$35,"Yes")</f>
        <v/>
      </c>
    </row>
    <row r="15">
      <c r="A15" s="21" t="inlineStr">
        <is>
          <t>Still open</t>
        </is>
      </c>
      <c r="B15" s="22">
        <f>B12-B14</f>
        <v/>
      </c>
    </row>
    <row r="17">
      <c r="A17" s="23" t="inlineStr">
        <is>
          <t>Suggested order of work (from the Tracker's 'Suggested order' column)</t>
        </is>
      </c>
    </row>
    <row r="18" ht="15" customHeight="1">
      <c r="A18" s="21" t="n">
        <v>1</v>
      </c>
      <c r="B18" s="22" t="inlineStr">
        <is>
          <t>Rotate the Anthropic API key on the production box — overdue, and the key is live.</t>
        </is>
      </c>
    </row>
    <row r="19" ht="15" customHeight="1">
      <c r="A19" s="21" t="n">
        <v>2</v>
      </c>
      <c r="B19" s="22" t="inlineStr">
        <is>
          <t>Create one employee and one manager test login (point 22). Unblocks 7, and lets you test the approval flow end to end as the people who will use it.</t>
        </is>
      </c>
    </row>
    <row r="20" ht="15" customHeight="1">
      <c r="A20" s="21" t="n">
        <v>3</v>
      </c>
      <c r="B20" s="22" t="inlineStr">
        <is>
          <t>Decide point 1: should an approved growth plan be editable without the manager returning it?</t>
        </is>
      </c>
    </row>
    <row r="21" ht="15" customHeight="1">
      <c r="A21" s="21" t="n">
        <v>4</v>
      </c>
      <c r="B21" s="22" t="inlineStr">
        <is>
          <t>Add Department values to the KRA library (points 2 and 12). Until then department matching cannot bite.</t>
        </is>
      </c>
    </row>
    <row r="22" ht="15" customHeight="1">
      <c r="A22" s="21" t="n">
        <v>5</v>
      </c>
      <c r="B22" s="22" t="inlineStr">
        <is>
          <t>Fill the Career Pathing Matrix (13), and tell us what ‘more confirmation’ means for connects (31).</t>
        </is>
      </c>
    </row>
    <row r="23" ht="15" customHeight="1">
      <c r="A23" s="21" t="n">
        <v>6</v>
      </c>
      <c r="B23" s="22" t="inlineStr">
        <is>
          <t>Answer the four KRA unique-ID questions (4).</t>
        </is>
      </c>
    </row>
    <row r="24" ht="15" customHeight="1">
      <c r="A24" s="21" t="n">
        <v>7</v>
      </c>
      <c r="B24" s="22" t="inlineStr">
        <is>
          <t>Confirm the new mid-year visibility (20) — the employee no longer sees the manager’s mid-year rating at all.</t>
        </is>
      </c>
    </row>
    <row r="25" ht="15" customHeight="1">
      <c r="A25" s="21" t="n">
        <v>8</v>
      </c>
      <c r="B25" s="22" t="inlineStr">
        <is>
          <t>We build the last piece of 24: may a manager edit a report’s sheet during review and Save &amp; Submit?</t>
        </is>
      </c>
    </row>
    <row r="26" ht="15" customHeight="1">
      <c r="A26" s="21" t="n"/>
      <c r="B26" s="22" t="n"/>
    </row>
  </sheetData>
  <mergeCells count="9">
    <mergeCell ref="B21:C21"/>
    <mergeCell ref="B24:C24"/>
    <mergeCell ref="B25:C25"/>
    <mergeCell ref="B19:C19"/>
    <mergeCell ref="B20:C20"/>
    <mergeCell ref="B23:C23"/>
    <mergeCell ref="B22:C22"/>
    <mergeCell ref="B26:C26"/>
    <mergeCell ref="B18:C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10" customWidth="1" min="1" max="1"/>
    <col width="52" customWidth="1" min="2" max="2"/>
    <col width="58" customWidth="1" min="3" max="3"/>
    <col width="26" customWidth="1" min="4" max="4"/>
    <col width="11" customWidth="1" min="5" max="5"/>
  </cols>
  <sheetData>
    <row r="1">
      <c r="A1" s="13" t="inlineStr">
        <is>
          <t>The ten points waiting on Mindgate</t>
        </is>
      </c>
    </row>
    <row r="2">
      <c r="A2" s="2" t="inlineStr">
        <is>
          <t>Nothing on this tab can be finished by us alone.</t>
        </is>
      </c>
    </row>
    <row r="4">
      <c r="A4" s="14" t="inlineStr">
        <is>
          <t>Point</t>
        </is>
      </c>
      <c r="B4" s="14" t="inlineStr">
        <is>
          <t>What we need</t>
        </is>
      </c>
      <c r="C4" s="14" t="inlineStr">
        <is>
          <t>Why it is stuck</t>
        </is>
      </c>
      <c r="D4" s="14" t="inlineStr">
        <is>
          <t>Who</t>
        </is>
      </c>
      <c r="E4" s="14" t="inlineStr">
        <is>
          <t>Provided?</t>
        </is>
      </c>
    </row>
    <row r="5" ht="32" customHeight="1">
      <c r="A5" s="24" t="inlineStr">
        <is>
          <t>22</t>
        </is>
      </c>
      <c r="B5" s="25" t="inlineStr">
        <is>
          <t>One employee login and one manager login on production</t>
        </is>
      </c>
      <c r="C5" s="25" t="inlineStr">
        <is>
          <t>Only hr.admin@mindgate.com has a password; 239 managers have a role but no way in</t>
        </is>
      </c>
      <c r="D5" s="24" t="inlineStr">
        <is>
          <t>Mindgate / us on your word</t>
        </is>
      </c>
      <c r="E5" s="24" t="inlineStr"/>
    </row>
    <row r="6" ht="32" customHeight="1">
      <c r="A6" s="26" t="inlineStr">
        <is>
          <t>2, 12</t>
        </is>
      </c>
      <c r="B6" s="27" t="inlineStr">
        <is>
          <t>A Department value on the KRA library rows</t>
        </is>
      </c>
      <c r="C6" s="27" t="inlineStr">
        <is>
          <t>0 of 2,155 rows carry one, so matching can only use designation</t>
        </is>
      </c>
      <c r="D6" s="26" t="inlineStr">
        <is>
          <t>Mindgate — HR</t>
        </is>
      </c>
      <c r="E6" s="26" t="inlineStr"/>
    </row>
    <row r="7" ht="32" customHeight="1">
      <c r="A7" s="24" t="inlineStr">
        <is>
          <t>5</t>
        </is>
      </c>
      <c r="B7" s="25" t="inlineStr">
        <is>
          <t>Google OAuth client ID and secret</t>
        </is>
      </c>
      <c r="C7" s="25" t="inlineStr">
        <is>
          <t>Meet cannot be connected without them</t>
        </is>
      </c>
      <c r="D7" s="24" t="inlineStr">
        <is>
          <t>Mindgate — IT</t>
        </is>
      </c>
      <c r="E7" s="24" t="inlineStr"/>
    </row>
    <row r="8" ht="32" customHeight="1">
      <c r="A8" s="26" t="inlineStr">
        <is>
          <t>17</t>
        </is>
      </c>
      <c r="B8" s="27" t="inlineStr">
        <is>
          <t>SMTP host, port, user, password</t>
        </is>
      </c>
      <c r="C8" s="27" t="inlineStr">
        <is>
          <t>Connect scheduling cannot send email</t>
        </is>
      </c>
      <c r="D8" s="26" t="inlineStr">
        <is>
          <t>Mindgate — IT</t>
        </is>
      </c>
      <c r="E8" s="26" t="inlineStr"/>
    </row>
    <row r="9" ht="32" customHeight="1">
      <c r="A9" s="24" t="inlineStr">
        <is>
          <t>1</t>
        </is>
      </c>
      <c r="B9" s="25" t="inlineStr">
        <is>
          <t>A decision: may an approved growth plan be edited directly?</t>
        </is>
      </c>
      <c r="C9" s="25" t="inlineStr">
        <is>
          <t>Today it must be returned by the manager first</t>
        </is>
      </c>
      <c r="D9" s="24" t="inlineStr">
        <is>
          <t>Mindgate</t>
        </is>
      </c>
      <c r="E9" s="24" t="inlineStr"/>
    </row>
    <row r="10" ht="32" customHeight="1">
      <c r="A10" s="26" t="inlineStr">
        <is>
          <t>4</t>
        </is>
      </c>
      <c r="B10" s="27" t="inlineStr">
        <is>
          <t>Four answers on KRA unique IDs — format, scope, regeneration, back-fill</t>
        </is>
      </c>
      <c r="C10" s="27" t="inlineStr">
        <is>
          <t>No scheme can be chosen without them</t>
        </is>
      </c>
      <c r="D10" s="26" t="inlineStr">
        <is>
          <t>Mindgate</t>
        </is>
      </c>
      <c r="E10" s="26" t="inlineStr"/>
    </row>
    <row r="11" ht="32" customHeight="1">
      <c r="A11" s="24" t="inlineStr">
        <is>
          <t>13</t>
        </is>
      </c>
      <c r="B11" s="25" t="inlineStr">
        <is>
          <t>Career Pathing Matrix content</t>
        </is>
      </c>
      <c r="C11" s="25" t="inlineStr">
        <is>
          <t>The matrix is empty, so Aspiring Career has no target roles to offer</t>
        </is>
      </c>
      <c r="D11" s="24" t="inlineStr">
        <is>
          <t>Mindgate — HR</t>
        </is>
      </c>
      <c r="E11" s="24" t="inlineStr"/>
    </row>
    <row r="12" ht="32" customHeight="1">
      <c r="A12" s="26" t="inlineStr">
        <is>
          <t>31</t>
        </is>
      </c>
      <c r="B12" s="27" t="inlineStr">
        <is>
          <t>What 'more confirmation' means beyond manager sign-off</t>
        </is>
      </c>
      <c r="C12" s="27" t="inlineStr">
        <is>
          <t>Sign-off is already built</t>
        </is>
      </c>
      <c r="D12" s="26" t="inlineStr">
        <is>
          <t>Mindgate</t>
        </is>
      </c>
      <c r="E12" s="26" t="inlineStr"/>
    </row>
    <row r="13" ht="32" customHeight="1">
      <c r="A13" s="24" t="inlineStr">
        <is>
          <t>8</t>
        </is>
      </c>
      <c r="B13" s="25" t="inlineStr">
        <is>
          <t>Rotate the Anthropic API key</t>
        </is>
      </c>
      <c r="C13" s="25" t="inlineStr">
        <is>
          <t>Flagged repeatedly; the key is live on the box</t>
        </is>
      </c>
      <c r="D13" s="24" t="inlineStr">
        <is>
          <t>Mindgate — IT</t>
        </is>
      </c>
      <c r="E13" s="24" t="inlineStr"/>
    </row>
    <row r="14" ht="32" customHeight="1">
      <c r="A14" s="24" t="inlineStr">
        <is>
          <t>20</t>
        </is>
      </c>
      <c r="B14" s="25" t="inlineStr">
        <is>
          <t>Confirmation that the employee should never see the manager’s mid-year rating</t>
        </is>
      </c>
      <c r="C14" s="25" t="inlineStr">
        <is>
          <t>You asked for it removed on 23 Sep; it is now hidden even after publish, which is a change from the answer we gave you</t>
        </is>
      </c>
      <c r="D14" s="24" t="inlineStr">
        <is>
          <t>Mindgate</t>
        </is>
      </c>
      <c r="E14" s="24" t="n"/>
    </row>
  </sheetData>
  <dataValidations count="1">
    <dataValidation sqref="E5:E1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2026-09-23T03:11:39Z</dcterms:created>
  <dcterms:modified xmlns:dcterms="http://purl.org/dc/terms/" xmlns:xsi="http://www.w3.org/2001/XMLSchema-instance" xsi:type="dcterms:W3CDTF">2026-09-24T05:56:58Z</dcterms:modified>
</cp:coreProperties>
</file>